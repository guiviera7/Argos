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redirection$\Documentos\guilhermev\SAP\SAP GUI\"/>
    </mc:Choice>
  </mc:AlternateContent>
  <xr:revisionPtr revIDLastSave="0" documentId="13_ncr:1_{9D6410D7-7D23-489D-9FF0-D9296E2A6764}" xr6:coauthVersionLast="36" xr6:coauthVersionMax="36" xr10:uidLastSave="{00000000-0000-0000-0000-000000000000}"/>
  <bookViews>
    <workbookView xWindow="0" yWindow="0" windowWidth="14370" windowHeight="4335" xr2:uid="{D6ADD8AE-2FB4-4832-8611-D03BB30355B5}"/>
  </bookViews>
  <sheets>
    <sheet name="PES" sheetId="2" r:id="rId1"/>
    <sheet name="PIK" sheetId="4" r:id="rId2"/>
    <sheet name="Ressuprimento 1" sheetId="1" r:id="rId3"/>
    <sheet name="Ressuprimento 2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5" i="1"/>
  <c r="I16" i="1"/>
  <c r="I17" i="1"/>
  <c r="I18" i="1"/>
  <c r="I19" i="1"/>
  <c r="I20" i="1"/>
  <c r="I21" i="1"/>
  <c r="I13" i="1"/>
  <c r="I3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54" i="1"/>
  <c r="I55" i="1"/>
  <c r="I56" i="1"/>
  <c r="I57" i="1"/>
  <c r="I58" i="1"/>
  <c r="I59" i="1"/>
  <c r="I60" i="1"/>
  <c r="I61" i="1"/>
  <c r="I62" i="1"/>
  <c r="I63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4" i="1"/>
  <c r="I25" i="1"/>
  <c r="I26" i="1"/>
  <c r="I27" i="1"/>
  <c r="I28" i="1"/>
  <c r="I29" i="1"/>
  <c r="I30" i="1"/>
  <c r="I31" i="1"/>
  <c r="I32" i="1"/>
  <c r="I4" i="1"/>
  <c r="I5" i="1"/>
  <c r="I6" i="1"/>
  <c r="I7" i="1"/>
  <c r="I8" i="1"/>
  <c r="I9" i="1"/>
  <c r="I10" i="1"/>
  <c r="E66" i="1" l="1"/>
  <c r="E67" i="1"/>
  <c r="E68" i="1"/>
  <c r="E69" i="1"/>
  <c r="E70" i="1"/>
  <c r="E71" i="1"/>
  <c r="E72" i="1"/>
  <c r="E32" i="1" l="1"/>
  <c r="E31" i="1"/>
  <c r="E30" i="1"/>
  <c r="E29" i="1"/>
  <c r="E28" i="1"/>
  <c r="E27" i="1"/>
  <c r="E26" i="1"/>
  <c r="E25" i="1"/>
  <c r="E24" i="1"/>
  <c r="E39" i="5"/>
  <c r="E40" i="5"/>
  <c r="E41" i="5"/>
  <c r="E42" i="5"/>
  <c r="E43" i="5"/>
  <c r="E44" i="5"/>
  <c r="E45" i="5"/>
  <c r="E46" i="5"/>
  <c r="E47" i="5"/>
  <c r="E84" i="1" l="1"/>
  <c r="E14" i="1"/>
  <c r="E15" i="1"/>
  <c r="E16" i="1"/>
  <c r="E17" i="1"/>
  <c r="E18" i="1"/>
  <c r="E19" i="1"/>
  <c r="E20" i="1"/>
  <c r="E21" i="1"/>
  <c r="E13" i="1"/>
  <c r="E83" i="1" l="1"/>
  <c r="E82" i="1"/>
  <c r="E81" i="1"/>
  <c r="E80" i="1"/>
  <c r="E79" i="1"/>
  <c r="E78" i="1"/>
  <c r="E77" i="1"/>
  <c r="E76" i="1"/>
  <c r="E75" i="1"/>
  <c r="E74" i="1"/>
  <c r="E73" i="1"/>
  <c r="E22" i="5" l="1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55" i="1" l="1"/>
  <c r="E56" i="1"/>
  <c r="E57" i="1"/>
  <c r="E58" i="1"/>
  <c r="E59" i="1"/>
  <c r="E60" i="1"/>
  <c r="E61" i="1"/>
  <c r="E62" i="1"/>
  <c r="E63" i="1"/>
  <c r="E54" i="1"/>
  <c r="E35" i="1"/>
  <c r="E50" i="1"/>
  <c r="E51" i="1"/>
  <c r="E36" i="1" l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4" i="1"/>
  <c r="E5" i="1"/>
  <c r="E6" i="1"/>
  <c r="E7" i="1"/>
  <c r="E8" i="1"/>
  <c r="E9" i="1"/>
  <c r="E10" i="1"/>
  <c r="E3" i="1" l="1"/>
</calcChain>
</file>

<file path=xl/sharedStrings.xml><?xml version="1.0" encoding="utf-8"?>
<sst xmlns="http://schemas.openxmlformats.org/spreadsheetml/2006/main" count="6101" uniqueCount="1288">
  <si>
    <t>peso atual</t>
  </si>
  <si>
    <t>Prox/Atual</t>
  </si>
  <si>
    <t>5053135000010584</t>
  </si>
  <si>
    <t>VERMELHO NATAL SOFTGEL - MISTURA DE CO</t>
  </si>
  <si>
    <t>PG-01-002</t>
  </si>
  <si>
    <t>PG-01-001</t>
  </si>
  <si>
    <t>5053133300000584</t>
  </si>
  <si>
    <t>PRETO INTENSO SOFTGEL - MISTURA DE COR</t>
  </si>
  <si>
    <t>Nome Material</t>
  </si>
  <si>
    <t>Peso Min</t>
  </si>
  <si>
    <t>5053130200010584</t>
  </si>
  <si>
    <t>AMARELO GEMA SOFTGEL - MISTURA DE CORA</t>
  </si>
  <si>
    <t>PG-01-003</t>
  </si>
  <si>
    <t>5053132800020584</t>
  </si>
  <si>
    <t>PG-01-004</t>
  </si>
  <si>
    <t>PINK SOFTGEL - MISTURA DE CORANTES ART</t>
  </si>
  <si>
    <t>5053134500010584</t>
  </si>
  <si>
    <t>VERDE LIMÃO SOFTGEL - CORANTE ARTIFICI</t>
  </si>
  <si>
    <t>PG-01-005</t>
  </si>
  <si>
    <t>5053135500000584</t>
  </si>
  <si>
    <t>ROSA INTENSO SOFTGEL - CORANTE ARTIFIC</t>
  </si>
  <si>
    <t>PG-01-006</t>
  </si>
  <si>
    <t>5053081800010584</t>
  </si>
  <si>
    <t>VERDE FOLHAS SOFTGEL - MISTURA DE CORA</t>
  </si>
  <si>
    <t>PG-01-008</t>
  </si>
  <si>
    <t>5053130000030584</t>
  </si>
  <si>
    <t>MARROM SOFTGEL - CORANTE ARTIFICIAL DE</t>
  </si>
  <si>
    <t>PG-01-009</t>
  </si>
  <si>
    <t>Lote</t>
  </si>
  <si>
    <t>Vaga PG</t>
  </si>
  <si>
    <t>PF-01-004</t>
  </si>
  <si>
    <t>5053133600000584</t>
  </si>
  <si>
    <t>ROSA CEREJA SOFTGEL - CORANTE ARTIFICI</t>
  </si>
  <si>
    <t>PF-01-005</t>
  </si>
  <si>
    <t>5053135700000584</t>
  </si>
  <si>
    <t>SUPER BRANCO SOFTGEL - CORANTE ARTIFIC</t>
  </si>
  <si>
    <t>5053130400010584</t>
  </si>
  <si>
    <t>PF-01-006</t>
  </si>
  <si>
    <t>AZUL ANIS SOFTGEL - MISTURA DE CORANTE</t>
  </si>
  <si>
    <t>5053135000010700</t>
  </si>
  <si>
    <t>VERMELHO NATAL SOFTGEL - CORANTE ARTIF</t>
  </si>
  <si>
    <t>PF-01-032</t>
  </si>
  <si>
    <t>5053134900010700</t>
  </si>
  <si>
    <t>PF-01-044</t>
  </si>
  <si>
    <t>VERMELHO MORANGO SOFTGEL - CORANTE ART</t>
  </si>
  <si>
    <t>5053130100000584</t>
  </si>
  <si>
    <t>PH-01-046</t>
  </si>
  <si>
    <t>AMARELO DAMASCO SOFTGEL - CORANTE ARTI</t>
  </si>
  <si>
    <t>PH-01-049</t>
  </si>
  <si>
    <t>5053134900010584</t>
  </si>
  <si>
    <t>J-01-003</t>
  </si>
  <si>
    <t>0550085544</t>
  </si>
  <si>
    <t>J-04-008</t>
  </si>
  <si>
    <t>0550085138</t>
  </si>
  <si>
    <t>0550084597</t>
  </si>
  <si>
    <t>CORAN-021</t>
  </si>
  <si>
    <t>J-02-010</t>
  </si>
  <si>
    <t>0550085145</t>
  </si>
  <si>
    <t>Material</t>
  </si>
  <si>
    <t>Centro</t>
  </si>
  <si>
    <t>Depósito</t>
  </si>
  <si>
    <t>Estoque especial</t>
  </si>
  <si>
    <t>Texto breve material</t>
  </si>
  <si>
    <t>Tipo de depósito</t>
  </si>
  <si>
    <t>Posição no depósito</t>
  </si>
  <si>
    <t>Estoque disponível</t>
  </si>
  <si>
    <t>Unid.medida básica</t>
  </si>
  <si>
    <t>Data da entrada de mercadorias</t>
  </si>
  <si>
    <t>5003045400000596</t>
  </si>
  <si>
    <t>1003</t>
  </si>
  <si>
    <t>SEXP</t>
  </si>
  <si>
    <t>0550085829</t>
  </si>
  <si>
    <t>LARANJA LÍQUIDO - CORANTE ARTIFICIAL D</t>
  </si>
  <si>
    <t>PES</t>
  </si>
  <si>
    <t>kg</t>
  </si>
  <si>
    <t>5003081800000596</t>
  </si>
  <si>
    <t>0550077485</t>
  </si>
  <si>
    <t>VERDE FOLHAS LÍQUIDO - CORANTE ARTIFIC</t>
  </si>
  <si>
    <t>AJUSTE</t>
  </si>
  <si>
    <t>0550085823</t>
  </si>
  <si>
    <t>0550086658</t>
  </si>
  <si>
    <t>J-03-030</t>
  </si>
  <si>
    <t>5003130200010596</t>
  </si>
  <si>
    <t>0550085825</t>
  </si>
  <si>
    <t>AMARELO GEMA LÍQUIDO - CORANTE ARTIFIC</t>
  </si>
  <si>
    <t>0550086655</t>
  </si>
  <si>
    <t>5003130400000596</t>
  </si>
  <si>
    <t>AZUL ANIS LÍQUIDO - MISTURA DE CORANTE</t>
  </si>
  <si>
    <t>J-01-031</t>
  </si>
  <si>
    <t>0550086116</t>
  </si>
  <si>
    <t>J-03-029</t>
  </si>
  <si>
    <t>5003130600000596</t>
  </si>
  <si>
    <t>0550086121</t>
  </si>
  <si>
    <t>AZUL JEANS LÍQUIDO - CORANTE ARTIFICIA</t>
  </si>
  <si>
    <t>5003132000000596</t>
  </si>
  <si>
    <t>0550086118</t>
  </si>
  <si>
    <t>MARROM CHOCOLATE LÍQUIDO - CORANTE ART</t>
  </si>
  <si>
    <t>J-03-031</t>
  </si>
  <si>
    <t>5003132800000596</t>
  </si>
  <si>
    <t>0550085827</t>
  </si>
  <si>
    <t>PINK LÍQUIDO - CORANTE ARTIFICIAL DE G</t>
  </si>
  <si>
    <t>J-02-031</t>
  </si>
  <si>
    <t>0550086657</t>
  </si>
  <si>
    <t>0550085009</t>
  </si>
  <si>
    <t>5003133300000596</t>
  </si>
  <si>
    <t>0550086654</t>
  </si>
  <si>
    <t>PRETO INTENSO LÍQUIDO - CORANTE ARTIFI</t>
  </si>
  <si>
    <t>5003133600000596</t>
  </si>
  <si>
    <t>0550085824</t>
  </si>
  <si>
    <t>ROSA CEREJA LÍQUIDO - MISTURA DE CORAN</t>
  </si>
  <si>
    <t>J-01-028</t>
  </si>
  <si>
    <t>0550086501</t>
  </si>
  <si>
    <t>5003133900010596</t>
  </si>
  <si>
    <t>0550085826</t>
  </si>
  <si>
    <t>ROXO BATATA LÍQUIDO - CORANTE ARTIFICI</t>
  </si>
  <si>
    <t>5003134400010596</t>
  </si>
  <si>
    <t>0550086656</t>
  </si>
  <si>
    <t>VERDE HORTELÃ LÍQUIDO - MISTURA DE COR</t>
  </si>
  <si>
    <t>0550085764</t>
  </si>
  <si>
    <t>5003134500000596</t>
  </si>
  <si>
    <t>0550086119</t>
  </si>
  <si>
    <t>VERDE LIMÃO LÍQUIDO - CORANTE ARTIFICI</t>
  </si>
  <si>
    <t>5003134900000596</t>
  </si>
  <si>
    <t>VERMELHO MORANGO LÍQUIDO - CORANTE ART</t>
  </si>
  <si>
    <t>0550085557</t>
  </si>
  <si>
    <t>0550086122</t>
  </si>
  <si>
    <t>J-04-032</t>
  </si>
  <si>
    <t>5003135000000596</t>
  </si>
  <si>
    <t>0550085556</t>
  </si>
  <si>
    <t>VERMELHO NATAL LÍQUIDO - CORANTE ARTIF</t>
  </si>
  <si>
    <t>0550084602</t>
  </si>
  <si>
    <t>5003135300000596</t>
  </si>
  <si>
    <t>0550084307</t>
  </si>
  <si>
    <t>VINHO BORDÔ LÍQUIDO - CORANTE ARTIFICI</t>
  </si>
  <si>
    <t>5017106301020349</t>
  </si>
  <si>
    <t>0550085066</t>
  </si>
  <si>
    <t>XAROPE DE GLUCOSE</t>
  </si>
  <si>
    <t>0550086516</t>
  </si>
  <si>
    <t>0550086188</t>
  </si>
  <si>
    <t>K-03-009</t>
  </si>
  <si>
    <t>0550084178</t>
  </si>
  <si>
    <t>K-03-031</t>
  </si>
  <si>
    <t>0550085801</t>
  </si>
  <si>
    <t>K-03-032</t>
  </si>
  <si>
    <t>0550086810</t>
  </si>
  <si>
    <t>K-04-013</t>
  </si>
  <si>
    <t>0550086517</t>
  </si>
  <si>
    <t>K-03-021</t>
  </si>
  <si>
    <t>0550084176</t>
  </si>
  <si>
    <t>K-02-032</t>
  </si>
  <si>
    <t>0550086189</t>
  </si>
  <si>
    <t>K-03-011</t>
  </si>
  <si>
    <t>0550084177</t>
  </si>
  <si>
    <t>K-03-001</t>
  </si>
  <si>
    <t>5017106301020571</t>
  </si>
  <si>
    <t>0550086513</t>
  </si>
  <si>
    <t>0550086191</t>
  </si>
  <si>
    <t>0550085067</t>
  </si>
  <si>
    <t>K-02-002</t>
  </si>
  <si>
    <t>0550084347</t>
  </si>
  <si>
    <t>0550085068</t>
  </si>
  <si>
    <t>K-02-029</t>
  </si>
  <si>
    <t>0550085800</t>
  </si>
  <si>
    <t>K-02-031</t>
  </si>
  <si>
    <t>0550085799</t>
  </si>
  <si>
    <t>K-04-021</t>
  </si>
  <si>
    <t>0550086514</t>
  </si>
  <si>
    <t>K-04-022</t>
  </si>
  <si>
    <t>5028060700170929</t>
  </si>
  <si>
    <t>NEUTRO BRILHO PARA CHOCOLATE E CONFEIT</t>
  </si>
  <si>
    <t>J-01-012</t>
  </si>
  <si>
    <t>0550082823</t>
  </si>
  <si>
    <t>J-01-013</t>
  </si>
  <si>
    <t>5028134600010700</t>
  </si>
  <si>
    <t>0550077755</t>
  </si>
  <si>
    <t>VERMELHO PEN - GEL PARA ESCREVER DE GR</t>
  </si>
  <si>
    <t>5032005200020670</t>
  </si>
  <si>
    <t>0550086418</t>
  </si>
  <si>
    <t>AMARELO PÓ - CORANTE ARTIFICIAL PARA F</t>
  </si>
  <si>
    <t>5032005200240787</t>
  </si>
  <si>
    <t>0550076342</t>
  </si>
  <si>
    <t>AMARELO CORANTE EM PÓ LIPOSSOLÚVEL</t>
  </si>
  <si>
    <t>INVENT-01</t>
  </si>
  <si>
    <t>5032045400010670</t>
  </si>
  <si>
    <t>0550084559</t>
  </si>
  <si>
    <t>LARANJA PÓ - CORANTE ARTIFICIAL PARA F</t>
  </si>
  <si>
    <t>J-01-020</t>
  </si>
  <si>
    <t>0550085774</t>
  </si>
  <si>
    <t>J-01-022</t>
  </si>
  <si>
    <t>0550085007</t>
  </si>
  <si>
    <t>J-01-023</t>
  </si>
  <si>
    <t>5032050100000670</t>
  </si>
  <si>
    <t>0550083257</t>
  </si>
  <si>
    <t>MAÇÃ VERDE PÓ - CORANTE ARTIFICIAL PAR</t>
  </si>
  <si>
    <t>5032114300000670</t>
  </si>
  <si>
    <t>0550086575</t>
  </si>
  <si>
    <t>LILÁS PÓ - CORANTE ARTIFICIAL PARA FIN</t>
  </si>
  <si>
    <t>J-01-019</t>
  </si>
  <si>
    <t>5032130000000670</t>
  </si>
  <si>
    <t>0550086620</t>
  </si>
  <si>
    <t>MARROM PÓ - CORANTE ARTIFICIAL PARA FI</t>
  </si>
  <si>
    <t>5032130100000787</t>
  </si>
  <si>
    <t>0550086840</t>
  </si>
  <si>
    <t>AMARELO DAMASCO PÓ - CORANTE ARTIFICIA</t>
  </si>
  <si>
    <t>J-01-018</t>
  </si>
  <si>
    <t>5032130200000349</t>
  </si>
  <si>
    <t>0550086004</t>
  </si>
  <si>
    <t>AMARELO GEMA PÓ - CORANTE ARTIFICIAL D</t>
  </si>
  <si>
    <t>0550086835</t>
  </si>
  <si>
    <t>J-01-026</t>
  </si>
  <si>
    <t>0550086836</t>
  </si>
  <si>
    <t>5032130300000670</t>
  </si>
  <si>
    <t>0550086621</t>
  </si>
  <si>
    <t>AZUL PÓ - CORANTE ARTIFICIAL PARA FINS</t>
  </si>
  <si>
    <t>0550083411</t>
  </si>
  <si>
    <t>5032130400000349</t>
  </si>
  <si>
    <t>0550083297</t>
  </si>
  <si>
    <t>AZUL ANIS PÓ - MISTURA DE CORANTES ART</t>
  </si>
  <si>
    <t>5032130400000787</t>
  </si>
  <si>
    <t>0550085004</t>
  </si>
  <si>
    <t>J-01-024</t>
  </si>
  <si>
    <t>0550085005</t>
  </si>
  <si>
    <t>5032133300000349</t>
  </si>
  <si>
    <t>0550079635</t>
  </si>
  <si>
    <t>PRETO INTENSO PÓ - CORANTE ARTIFICIAL</t>
  </si>
  <si>
    <t>0550086624</t>
  </si>
  <si>
    <t>J-01-027</t>
  </si>
  <si>
    <t>5032133600010349</t>
  </si>
  <si>
    <t>0550082918</t>
  </si>
  <si>
    <t>ROSA CEREJA PÓ - MISTURA DE CORANTES A</t>
  </si>
  <si>
    <t>0550085266</t>
  </si>
  <si>
    <t>5032133600010787</t>
  </si>
  <si>
    <t>0550085267</t>
  </si>
  <si>
    <t>5032133900000349</t>
  </si>
  <si>
    <t>0550084586</t>
  </si>
  <si>
    <t>ROXO BATATA PÓ - CORANTE ARTIFICIAL DE</t>
  </si>
  <si>
    <t>0550084587</t>
  </si>
  <si>
    <t>5032133900000787</t>
  </si>
  <si>
    <t>0550084585</t>
  </si>
  <si>
    <t>J-01-021</t>
  </si>
  <si>
    <t>5032134400000349</t>
  </si>
  <si>
    <t>0550083914</t>
  </si>
  <si>
    <t>VERDE HORTELÃ PÓ - MISTURA DE CORANTES</t>
  </si>
  <si>
    <t>0550085436</t>
  </si>
  <si>
    <t>J-01-025</t>
  </si>
  <si>
    <t>5032134400000787</t>
  </si>
  <si>
    <t>0550085434</t>
  </si>
  <si>
    <t>VERDE HORTELÃ PÓ - CORANTE ARTIFICIAL</t>
  </si>
  <si>
    <t>5032134900000349</t>
  </si>
  <si>
    <t>0550086151</t>
  </si>
  <si>
    <t>VERMELHO MORANGO PÓ - CORANTE ARTIFICI</t>
  </si>
  <si>
    <t>5032134900000787</t>
  </si>
  <si>
    <t>0550084560</t>
  </si>
  <si>
    <t>5032135300000349</t>
  </si>
  <si>
    <t>0550086006</t>
  </si>
  <si>
    <t>VINHO BORDÔ PÓ - CORANTE ARTIFICIAL DE</t>
  </si>
  <si>
    <t>5032135300000787</t>
  </si>
  <si>
    <t>0550083647</t>
  </si>
  <si>
    <t>5032135400000670</t>
  </si>
  <si>
    <t>0550084708</t>
  </si>
  <si>
    <t>VIOLETA PÓ - CORANTE ARTIFICIAL PARA F</t>
  </si>
  <si>
    <t>5032205000000670</t>
  </si>
  <si>
    <t>0550062925</t>
  </si>
  <si>
    <t>BORDÔ JABUTICABA BECA - AVELUDADO - CO</t>
  </si>
  <si>
    <t>J-01-017</t>
  </si>
  <si>
    <t>5032205100000670</t>
  </si>
  <si>
    <t>0550068281</t>
  </si>
  <si>
    <t>ROXO CUPCAKE BECA - AVELUDADO - CORANT</t>
  </si>
  <si>
    <t>5032205300000670</t>
  </si>
  <si>
    <t>0550073688</t>
  </si>
  <si>
    <t>AZUL GELADINHO BECA - AVELUDADO - CORA</t>
  </si>
  <si>
    <t>5032205800000670</t>
  </si>
  <si>
    <t>0550064568</t>
  </si>
  <si>
    <t>LARANJA TANGERINA BECA - AVELUDADO - C</t>
  </si>
  <si>
    <t>0550070009</t>
  </si>
  <si>
    <t>5032205900000670</t>
  </si>
  <si>
    <t>0550064567</t>
  </si>
  <si>
    <t>AMARELO CARAMELO BECA - AVELUDADO - CO</t>
  </si>
  <si>
    <t>5032206000000670</t>
  </si>
  <si>
    <t>0550069257</t>
  </si>
  <si>
    <t>CINZA SUSPIRO BECA - AVELUDADO - CORAN</t>
  </si>
  <si>
    <t>J-02-017</t>
  </si>
  <si>
    <t>5053005200070584</t>
  </si>
  <si>
    <t>0550085737</t>
  </si>
  <si>
    <t>AMARELO SOFTGEL CLASSIC - CORANTE ARTI</t>
  </si>
  <si>
    <t>K-04-024</t>
  </si>
  <si>
    <t>0550084572</t>
  </si>
  <si>
    <t>J-04-018</t>
  </si>
  <si>
    <t>0550083093</t>
  </si>
  <si>
    <t>J-03-011</t>
  </si>
  <si>
    <t>5053045400000593</t>
  </si>
  <si>
    <t>LARANJA CHOCO TINT - CORANTE ARTIFICIA</t>
  </si>
  <si>
    <t>0550086153</t>
  </si>
  <si>
    <t>J-02-021</t>
  </si>
  <si>
    <t>5053045400010594</t>
  </si>
  <si>
    <t>0550067334</t>
  </si>
  <si>
    <t>LARANJA GEL - CORANTE ARTIFICIAL PARA</t>
  </si>
  <si>
    <t>5053045400020584</t>
  </si>
  <si>
    <t>0550086675</t>
  </si>
  <si>
    <t>LARANJA SOFTGEL - CORANTE ARTIFICIAL D</t>
  </si>
  <si>
    <t>0550084574</t>
  </si>
  <si>
    <t>0550085290</t>
  </si>
  <si>
    <t>0550085750</t>
  </si>
  <si>
    <t>J-03-006</t>
  </si>
  <si>
    <t>5053045400020700</t>
  </si>
  <si>
    <t>0550084264</t>
  </si>
  <si>
    <t>J-02-023</t>
  </si>
  <si>
    <t>J-01-011</t>
  </si>
  <si>
    <t>5053045400020751</t>
  </si>
  <si>
    <t>0550084027</t>
  </si>
  <si>
    <t>J-01-008</t>
  </si>
  <si>
    <t>5053045400030584</t>
  </si>
  <si>
    <t>0550085277</t>
  </si>
  <si>
    <t>LARANJA SOFTGEL CLASSIC - CORANTE ARTI</t>
  </si>
  <si>
    <t>J-03-004</t>
  </si>
  <si>
    <t>0550083509</t>
  </si>
  <si>
    <t>J-03-020</t>
  </si>
  <si>
    <t>5053054700000584</t>
  </si>
  <si>
    <t>0550078306</t>
  </si>
  <si>
    <t>MARROM SOFTGEL CLASSIC - CORANTE ARTIF</t>
  </si>
  <si>
    <t>J-03-014</t>
  </si>
  <si>
    <t>0550085746</t>
  </si>
  <si>
    <t>K-03-028</t>
  </si>
  <si>
    <t>0550079116</t>
  </si>
  <si>
    <t>5053071200000593</t>
  </si>
  <si>
    <t>0550084801</t>
  </si>
  <si>
    <t>ROSA CHOCO TINT - CORANTE ARTIFICIAL D</t>
  </si>
  <si>
    <t>5053071200010594</t>
  </si>
  <si>
    <t>0550067337</t>
  </si>
  <si>
    <t>ROSA GEL - CORANTE ARTIFICIAL PARA FIN</t>
  </si>
  <si>
    <t>5053071200030584</t>
  </si>
  <si>
    <t>0550083508</t>
  </si>
  <si>
    <t>ROSA SOFTGEL CLASSIC - CORANTE ARTIFIC</t>
  </si>
  <si>
    <t>0550084581</t>
  </si>
  <si>
    <t>J-04-021</t>
  </si>
  <si>
    <t>0550086143</t>
  </si>
  <si>
    <t>K-04-020</t>
  </si>
  <si>
    <t>5053072500020593</t>
  </si>
  <si>
    <t>0550067095</t>
  </si>
  <si>
    <t>SALMÃO CORANTE PARA CHOCOLATE - CORANT</t>
  </si>
  <si>
    <t>0550084995</t>
  </si>
  <si>
    <t>0550085139</t>
  </si>
  <si>
    <t>J-01-007</t>
  </si>
  <si>
    <t>J-01-004</t>
  </si>
  <si>
    <t>0550085736</t>
  </si>
  <si>
    <t>J-04-028</t>
  </si>
  <si>
    <t>0550086483</t>
  </si>
  <si>
    <t>J-03-008</t>
  </si>
  <si>
    <t>5053081800010700</t>
  </si>
  <si>
    <t>VERDE FOLHAS SOFTGEL - CORANTE ARTIFIC</t>
  </si>
  <si>
    <t>0550085759</t>
  </si>
  <si>
    <t>J-03-019</t>
  </si>
  <si>
    <t>0550086635</t>
  </si>
  <si>
    <t>5053081800010751</t>
  </si>
  <si>
    <t>0550086636</t>
  </si>
  <si>
    <t>5053082000010584</t>
  </si>
  <si>
    <t>0550084465</t>
  </si>
  <si>
    <t>VINHO SOFTGEL - CORANTE ARTIFICIAL DE</t>
  </si>
  <si>
    <t>J-01-009</t>
  </si>
  <si>
    <t>0550086147</t>
  </si>
  <si>
    <t>K-04-030</t>
  </si>
  <si>
    <t>5053082000020584</t>
  </si>
  <si>
    <t>0550084251</t>
  </si>
  <si>
    <t>VINHO SOFTGEL CLASSIC - CORANTE ARTIFI</t>
  </si>
  <si>
    <t>J-03-012</t>
  </si>
  <si>
    <t>5053114300000584</t>
  </si>
  <si>
    <t>0550085543</t>
  </si>
  <si>
    <t>LILÁS SOFTGEL - MISTURA DE CORANTES AR</t>
  </si>
  <si>
    <t>0550086689</t>
  </si>
  <si>
    <t>J-02-007</t>
  </si>
  <si>
    <t>5053114300000700</t>
  </si>
  <si>
    <t>0550083901</t>
  </si>
  <si>
    <t>LILÁS SOFTGEL - CORANTE ARTIFICIAL DE</t>
  </si>
  <si>
    <t>0550084591</t>
  </si>
  <si>
    <t>J-02-027</t>
  </si>
  <si>
    <t>5053126500000584</t>
  </si>
  <si>
    <t>VERDE MUSGO SOFTGEL - CORANTE ARTIFICI</t>
  </si>
  <si>
    <t>0550085287</t>
  </si>
  <si>
    <t>J-04-004</t>
  </si>
  <si>
    <t>5053127000000593</t>
  </si>
  <si>
    <t>0550086154</t>
  </si>
  <si>
    <t>VERDE CHOCO TINT - CORANTE ARTIFICIAL</t>
  </si>
  <si>
    <t>0550086139</t>
  </si>
  <si>
    <t>J-04-026</t>
  </si>
  <si>
    <t>0550084583</t>
  </si>
  <si>
    <t>5053130000030700</t>
  </si>
  <si>
    <t>0550086133</t>
  </si>
  <si>
    <t>0550085143</t>
  </si>
  <si>
    <t>J-02-025</t>
  </si>
  <si>
    <t>0550085751</t>
  </si>
  <si>
    <t>J-04-027</t>
  </si>
  <si>
    <t>0550084461</t>
  </si>
  <si>
    <t>0550085278</t>
  </si>
  <si>
    <t>J-04-029</t>
  </si>
  <si>
    <t>0550086670</t>
  </si>
  <si>
    <t>5053130100000700</t>
  </si>
  <si>
    <t>0550086631</t>
  </si>
  <si>
    <t>J-03-024</t>
  </si>
  <si>
    <t>0550085498</t>
  </si>
  <si>
    <t>5053130100000751</t>
  </si>
  <si>
    <t>0550085142</t>
  </si>
  <si>
    <t>5053130200000594</t>
  </si>
  <si>
    <t>0550075228</t>
  </si>
  <si>
    <t>AMARELO GEMA GEL - CORANTE ARTIFICIAL</t>
  </si>
  <si>
    <t>0550085292</t>
  </si>
  <si>
    <t>0550083671</t>
  </si>
  <si>
    <t>J-01-002</t>
  </si>
  <si>
    <t>0550084255</t>
  </si>
  <si>
    <t>0550084997</t>
  </si>
  <si>
    <t>0550086762</t>
  </si>
  <si>
    <t>0550086472</t>
  </si>
  <si>
    <t>K-03-026</t>
  </si>
  <si>
    <t>5053130200010700</t>
  </si>
  <si>
    <t>0550084260</t>
  </si>
  <si>
    <t>AMARELO GEMA SOFTGEL - CORANTE ARTIFIC</t>
  </si>
  <si>
    <t>0550085147</t>
  </si>
  <si>
    <t>0550085760</t>
  </si>
  <si>
    <t>J-02-020</t>
  </si>
  <si>
    <t>5053130200010751</t>
  </si>
  <si>
    <t>0550085002</t>
  </si>
  <si>
    <t>5053130300000593</t>
  </si>
  <si>
    <t>0550084802</t>
  </si>
  <si>
    <t>AZUL CHOCO TINT - CORANTE ARTIFICIAL D</t>
  </si>
  <si>
    <t>5053130300050584</t>
  </si>
  <si>
    <t>0550084584</t>
  </si>
  <si>
    <t>AZUL SOFTGEL CLASSIC - CORANTE ARTIFIC</t>
  </si>
  <si>
    <t>J-04-022</t>
  </si>
  <si>
    <t>0550083673</t>
  </si>
  <si>
    <t>0550079510</t>
  </si>
  <si>
    <t>0550085738</t>
  </si>
  <si>
    <t>J-04-016</t>
  </si>
  <si>
    <t>0550085741</t>
  </si>
  <si>
    <t>J-03-015</t>
  </si>
  <si>
    <t>0550084753</t>
  </si>
  <si>
    <t>0550086142</t>
  </si>
  <si>
    <t>J-03-025</t>
  </si>
  <si>
    <t>0550084754</t>
  </si>
  <si>
    <t>J-01-006</t>
  </si>
  <si>
    <t>5053130400010700</t>
  </si>
  <si>
    <t>0550085761</t>
  </si>
  <si>
    <t>AZUL ANIS SOFTGEL - CORANTE ARTIFICIAL</t>
  </si>
  <si>
    <t>J-04-020</t>
  </si>
  <si>
    <t>0550085148</t>
  </si>
  <si>
    <t>J-02-028</t>
  </si>
  <si>
    <t>0550086127</t>
  </si>
  <si>
    <t>J-02-008</t>
  </si>
  <si>
    <t>5053130400010751</t>
  </si>
  <si>
    <t>0550085140</t>
  </si>
  <si>
    <t>J-02-015</t>
  </si>
  <si>
    <t>0550086126</t>
  </si>
  <si>
    <t>J-02-026</t>
  </si>
  <si>
    <t>5053130500000584</t>
  </si>
  <si>
    <t>0550085135</t>
  </si>
  <si>
    <t>AZUL BEBÊ SOFTGEL - MISTURA DE CORANTE</t>
  </si>
  <si>
    <t>0550086480</t>
  </si>
  <si>
    <t>K-03-004</t>
  </si>
  <si>
    <t>0550083503</t>
  </si>
  <si>
    <t>5053130600000594</t>
  </si>
  <si>
    <t>0550067335</t>
  </si>
  <si>
    <t>AZUL JEANS GEL - CORANTE ARTIFICIAL PA</t>
  </si>
  <si>
    <t>5053130600010584</t>
  </si>
  <si>
    <t>0550084467</t>
  </si>
  <si>
    <t>AZUL JEANS SOFTGEL - CORANTE ARTIFICIA</t>
  </si>
  <si>
    <t>0550084755</t>
  </si>
  <si>
    <t>J-04-007</t>
  </si>
  <si>
    <t>5053130600010700</t>
  </si>
  <si>
    <t>0550084023</t>
  </si>
  <si>
    <t>J-03-009</t>
  </si>
  <si>
    <t>5053130700000584</t>
  </si>
  <si>
    <t>0550086146</t>
  </si>
  <si>
    <t>AZUL MARINHO SOFTGEL - CORANTE ARTIFIC</t>
  </si>
  <si>
    <t>K-04-025</t>
  </si>
  <si>
    <t>0550085546</t>
  </si>
  <si>
    <t>5053130700000700</t>
  </si>
  <si>
    <t>0550085001</t>
  </si>
  <si>
    <t>J-02-016</t>
  </si>
  <si>
    <t>5053130700010584</t>
  </si>
  <si>
    <t>0550085286</t>
  </si>
  <si>
    <t>AZUL MARINHO SOFTGEL CLASSIC - CORANTE</t>
  </si>
  <si>
    <t>J-02-013</t>
  </si>
  <si>
    <t>0550083517</t>
  </si>
  <si>
    <t>J-03-017</t>
  </si>
  <si>
    <t>5053130700020593</t>
  </si>
  <si>
    <t>0550082312</t>
  </si>
  <si>
    <t>AZUL MARINHO CHOCO TINT - CORANTE ARTI</t>
  </si>
  <si>
    <t>J-03-022</t>
  </si>
  <si>
    <t>5053130800020584</t>
  </si>
  <si>
    <t>0550085547</t>
  </si>
  <si>
    <t>BRANCO SOFTGEL CLASSIC - CORANTE ARTIF</t>
  </si>
  <si>
    <t>J-03-013</t>
  </si>
  <si>
    <t>0550083094</t>
  </si>
  <si>
    <t>J-02-018</t>
  </si>
  <si>
    <t>5053132800010594</t>
  </si>
  <si>
    <t>0550070620</t>
  </si>
  <si>
    <t>PINK GEL - CORANTE ARTIFICIAL PARA FIN</t>
  </si>
  <si>
    <t>J-01-016</t>
  </si>
  <si>
    <t>0550071388</t>
  </si>
  <si>
    <t>J-03-016</t>
  </si>
  <si>
    <t>0550071645</t>
  </si>
  <si>
    <t>0550085293</t>
  </si>
  <si>
    <t>J-04-012</t>
  </si>
  <si>
    <t>0550084009</t>
  </si>
  <si>
    <t>0550084462</t>
  </si>
  <si>
    <t>5053132800020700</t>
  </si>
  <si>
    <t>0550084594</t>
  </si>
  <si>
    <t>PINK SOFTGEL - CORANTE ARTIFICIAL PARA</t>
  </si>
  <si>
    <t>J-02-014</t>
  </si>
  <si>
    <t>5053132800030584</t>
  </si>
  <si>
    <t>0550085740</t>
  </si>
  <si>
    <t>PINK SOFTGEL CLASSIC - CORANTE ARTIFIC</t>
  </si>
  <si>
    <t>K-03-019</t>
  </si>
  <si>
    <t>0550084466</t>
  </si>
  <si>
    <t>0550082715</t>
  </si>
  <si>
    <t>J-02-019</t>
  </si>
  <si>
    <t>5053133000010593</t>
  </si>
  <si>
    <t>0550086155</t>
  </si>
  <si>
    <t>PRETO CHOCO TINT - CORANTE ARTIFICIAL</t>
  </si>
  <si>
    <t>K-03-025</t>
  </si>
  <si>
    <t>5053133000040584</t>
  </si>
  <si>
    <t>0550079671</t>
  </si>
  <si>
    <t>PRETO SOFTGEL CLASSIC - CORANTE ARTIFI</t>
  </si>
  <si>
    <t>0550083670</t>
  </si>
  <si>
    <t>J-04-017</t>
  </si>
  <si>
    <t>0550085745</t>
  </si>
  <si>
    <t>J-04-011</t>
  </si>
  <si>
    <t>0550086254</t>
  </si>
  <si>
    <t>K-04-007</t>
  </si>
  <si>
    <t>0550086485</t>
  </si>
  <si>
    <t>0550086012</t>
  </si>
  <si>
    <t>J-03-001</t>
  </si>
  <si>
    <t>5053133300000700</t>
  </si>
  <si>
    <t>PRETO INTENSO SOFTGEL - CORANTE ARTIFI</t>
  </si>
  <si>
    <t>0550086735</t>
  </si>
  <si>
    <t>J-03-002</t>
  </si>
  <si>
    <t>5053133300000751</t>
  </si>
  <si>
    <t>J-01-010</t>
  </si>
  <si>
    <t>0550086124</t>
  </si>
  <si>
    <t>5053133500000584</t>
  </si>
  <si>
    <t>0550086481</t>
  </si>
  <si>
    <t>ROSA BEBÊ SOFTGEL - CORANTE ARTIFICIAL</t>
  </si>
  <si>
    <t>0550085549</t>
  </si>
  <si>
    <t>J-03-007</t>
  </si>
  <si>
    <t>0550082204</t>
  </si>
  <si>
    <t>0550084578</t>
  </si>
  <si>
    <t>0550086135</t>
  </si>
  <si>
    <t>5053133600000700</t>
  </si>
  <si>
    <t>0550085540</t>
  </si>
  <si>
    <t>J-02-009</t>
  </si>
  <si>
    <t>0550084596</t>
  </si>
  <si>
    <t>5053133600000751</t>
  </si>
  <si>
    <t>0550084599</t>
  </si>
  <si>
    <t>5053133800000584</t>
  </si>
  <si>
    <t>0550084252</t>
  </si>
  <si>
    <t>ROXO SOFTGEL - CORANTE ARTIFICIAL DE G</t>
  </si>
  <si>
    <t>0550085739</t>
  </si>
  <si>
    <t>5053133800010584</t>
  </si>
  <si>
    <t>0550083290</t>
  </si>
  <si>
    <t>ROXO SOFTGEL CLASSIC - CORANTE ARTIFIC</t>
  </si>
  <si>
    <t>0550085744</t>
  </si>
  <si>
    <t>K-03-015</t>
  </si>
  <si>
    <t>5053133800020593</t>
  </si>
  <si>
    <t>0550082313</t>
  </si>
  <si>
    <t>ROXO CHOCO TINT - CORANTE ARTIFICIAL D</t>
  </si>
  <si>
    <t>5053134000000584</t>
  </si>
  <si>
    <t>0550085747</t>
  </si>
  <si>
    <t>TURQUESA SOFTGEL - CORANTE ARTIFICIAL</t>
  </si>
  <si>
    <t>J-04-010</t>
  </si>
  <si>
    <t>0550084015</t>
  </si>
  <si>
    <t>5053134400000594</t>
  </si>
  <si>
    <t>0550072853</t>
  </si>
  <si>
    <t>VERDE HORTELÃ GEL - CORANTE ARTIFICIAL</t>
  </si>
  <si>
    <t>5053134400010584</t>
  </si>
  <si>
    <t>0550085137</t>
  </si>
  <si>
    <t>VERDE HORTELÃ SOFTGEL - MISTURA DE COR</t>
  </si>
  <si>
    <t>0550085743</t>
  </si>
  <si>
    <t>0550086669</t>
  </si>
  <si>
    <t>K-03-006</t>
  </si>
  <si>
    <t>5053134400010700</t>
  </si>
  <si>
    <t>0550086131</t>
  </si>
  <si>
    <t>VERDE HORTELÃ SOFTGEL - CORANTE ARTIFI</t>
  </si>
  <si>
    <t>J-02-022</t>
  </si>
  <si>
    <t>0550086764</t>
  </si>
  <si>
    <t>K-03-030</t>
  </si>
  <si>
    <t>0550085000</t>
  </si>
  <si>
    <t>0550077936</t>
  </si>
  <si>
    <t>5053134600000593</t>
  </si>
  <si>
    <t>0550086156</t>
  </si>
  <si>
    <t>VERMELHO CHOCO TINT - CORANTE ARTIFICI</t>
  </si>
  <si>
    <t>5053134600020584</t>
  </si>
  <si>
    <t>0550085288</t>
  </si>
  <si>
    <t>VERMELHO SOFTGEL CLASSIC - CORANTE ART</t>
  </si>
  <si>
    <t>K-03-027</t>
  </si>
  <si>
    <t>0550085754</t>
  </si>
  <si>
    <t>0550083292</t>
  </si>
  <si>
    <t>J-03-018</t>
  </si>
  <si>
    <t>0550083676</t>
  </si>
  <si>
    <t>K-03-005</t>
  </si>
  <si>
    <t>0550084999</t>
  </si>
  <si>
    <t>K-03-003</t>
  </si>
  <si>
    <t>0550086137</t>
  </si>
  <si>
    <t>J-04-001</t>
  </si>
  <si>
    <t>0550086761</t>
  </si>
  <si>
    <t>J-04-006</t>
  </si>
  <si>
    <t>0550085734</t>
  </si>
  <si>
    <t>J-01-005</t>
  </si>
  <si>
    <t>0550086138</t>
  </si>
  <si>
    <t>J-04-023</t>
  </si>
  <si>
    <t>0550086477</t>
  </si>
  <si>
    <t>J-04-024</t>
  </si>
  <si>
    <t>0550086476</t>
  </si>
  <si>
    <t>J-03-027</t>
  </si>
  <si>
    <t>0550086760</t>
  </si>
  <si>
    <t>0550085752</t>
  </si>
  <si>
    <t>J-03-010</t>
  </si>
  <si>
    <t>J-02-029</t>
  </si>
  <si>
    <t>0550086632</t>
  </si>
  <si>
    <t>0550086130</t>
  </si>
  <si>
    <t>K-03-002</t>
  </si>
  <si>
    <t>0550085542</t>
  </si>
  <si>
    <t>J-02-012</t>
  </si>
  <si>
    <t>0550086633</t>
  </si>
  <si>
    <t>K-04-027</t>
  </si>
  <si>
    <t>0550086766</t>
  </si>
  <si>
    <t>5053134900010751</t>
  </si>
  <si>
    <t>0550085756</t>
  </si>
  <si>
    <t>K-02-003</t>
  </si>
  <si>
    <t>0550085755</t>
  </si>
  <si>
    <t>J-02-001</t>
  </si>
  <si>
    <t>0550086638</t>
  </si>
  <si>
    <t>0550086141</t>
  </si>
  <si>
    <t>J-03-021</t>
  </si>
  <si>
    <t>0550086672</t>
  </si>
  <si>
    <t>K-04-011</t>
  </si>
  <si>
    <t>0550086482</t>
  </si>
  <si>
    <t>J-03-005</t>
  </si>
  <si>
    <t>0550085753</t>
  </si>
  <si>
    <t>J-04-030</t>
  </si>
  <si>
    <t>0550085735</t>
  </si>
  <si>
    <t>J-04-031</t>
  </si>
  <si>
    <t>0550085541</t>
  </si>
  <si>
    <t>J-02-024</t>
  </si>
  <si>
    <t>0550086634</t>
  </si>
  <si>
    <t>0550086132</t>
  </si>
  <si>
    <t>J-02-006</t>
  </si>
  <si>
    <t>0550086765</t>
  </si>
  <si>
    <t>5053135000010751</t>
  </si>
  <si>
    <t>0550085758</t>
  </si>
  <si>
    <t>K-02-028</t>
  </si>
  <si>
    <t>0550084598</t>
  </si>
  <si>
    <t>5053135400000584</t>
  </si>
  <si>
    <t>0550083487</t>
  </si>
  <si>
    <t>VIOLETA SOFTGEL - MISTURA DE CORANTES</t>
  </si>
  <si>
    <t>J-01-014</t>
  </si>
  <si>
    <t>0550078632</t>
  </si>
  <si>
    <t>5053135400010593</t>
  </si>
  <si>
    <t>0550082737</t>
  </si>
  <si>
    <t>VIOLETA CORANTE PARA CHOCOLATE - CORAN</t>
  </si>
  <si>
    <t>0550084254</t>
  </si>
  <si>
    <t>0550084580</t>
  </si>
  <si>
    <t>0550081650</t>
  </si>
  <si>
    <t>0550084571</t>
  </si>
  <si>
    <t>0550086478</t>
  </si>
  <si>
    <t>J-04-002</t>
  </si>
  <si>
    <t>0550085289</t>
  </si>
  <si>
    <t>5053135700000700</t>
  </si>
  <si>
    <t>0550085532</t>
  </si>
  <si>
    <t>J-02-004</t>
  </si>
  <si>
    <t>0550086769</t>
  </si>
  <si>
    <t>5053135700000751</t>
  </si>
  <si>
    <t>0550084025</t>
  </si>
  <si>
    <t>0550086770</t>
  </si>
  <si>
    <t>5053143400000584</t>
  </si>
  <si>
    <t>0550086144</t>
  </si>
  <si>
    <t>AZUL ROYAL SOFTGEL - CORANTE ARTIFICIA</t>
  </si>
  <si>
    <t>0550085291</t>
  </si>
  <si>
    <t>J-03-026</t>
  </si>
  <si>
    <t>0550085742</t>
  </si>
  <si>
    <t>J-04-009</t>
  </si>
  <si>
    <t>5053193900000584</t>
  </si>
  <si>
    <t>0550084573</t>
  </si>
  <si>
    <t>VERMELHO NOEL SOFTGEL - CORANTE ARTIFI</t>
  </si>
  <si>
    <t>0550085545</t>
  </si>
  <si>
    <t>J-03-028</t>
  </si>
  <si>
    <t>0550086479</t>
  </si>
  <si>
    <t>J-04-003</t>
  </si>
  <si>
    <t>0550084018</t>
  </si>
  <si>
    <t>5053205300000584</t>
  </si>
  <si>
    <t>0550073458</t>
  </si>
  <si>
    <t>AZUL GELADINHO BECA - SOFTGEL - CORANT</t>
  </si>
  <si>
    <t>5053205400000584</t>
  </si>
  <si>
    <t>0550073459</t>
  </si>
  <si>
    <t>VERDE PINTA LÍNGUA BECA - SOFTGEL - CO</t>
  </si>
  <si>
    <t>5053205700000584</t>
  </si>
  <si>
    <t>0550074789</t>
  </si>
  <si>
    <t>AZUL PIRULITO BECA - SOFTGEL - CORANTE</t>
  </si>
  <si>
    <t>5053230600000584</t>
  </si>
  <si>
    <t>0550078314</t>
  </si>
  <si>
    <t>CINZA SOFTGEL CLASSIC - CORANTE ARTIFI</t>
  </si>
  <si>
    <t>5053230700000584</t>
  </si>
  <si>
    <t>0550084582</t>
  </si>
  <si>
    <t>VERDE CLARO SOFTGEL CLASSIC - CORANTE</t>
  </si>
  <si>
    <t>J-04-019</t>
  </si>
  <si>
    <t>0550085749</t>
  </si>
  <si>
    <t>J-04-014</t>
  </si>
  <si>
    <t>0550082718</t>
  </si>
  <si>
    <t>J-04-013</t>
  </si>
  <si>
    <t>5053230800000584</t>
  </si>
  <si>
    <t>0550085285</t>
  </si>
  <si>
    <t>VERDE ESCURO SOFTGEL CLASSIC - CORANTE</t>
  </si>
  <si>
    <t>5079134100010670</t>
  </si>
  <si>
    <t>0550080113</t>
  </si>
  <si>
    <t>VANILINA AROMA ARTIFICIAL DE (AROMA E</t>
  </si>
  <si>
    <t>5085000500450595</t>
  </si>
  <si>
    <t>0550085284</t>
  </si>
  <si>
    <t>ABACAXI MIX - AROMA ARTIFICIAL DE</t>
  </si>
  <si>
    <t>K-01-032</t>
  </si>
  <si>
    <t>5085006400060595</t>
  </si>
  <si>
    <t>0550085770</t>
  </si>
  <si>
    <t>AMÊNDOA MIX - AROMA ARTIFICIAL DE</t>
  </si>
  <si>
    <t>K-01-031</t>
  </si>
  <si>
    <t>5085009800200595</t>
  </si>
  <si>
    <t>0550086237</t>
  </si>
  <si>
    <t>AVELÃ MIX LIPO - AROMA IDÊNTICO AO NAT</t>
  </si>
  <si>
    <t>5085012200000595</t>
  </si>
  <si>
    <t>0550086265</t>
  </si>
  <si>
    <t>BAUNILHA BRANCA MIX - AROMA ARTIFICIAL</t>
  </si>
  <si>
    <t>K-04-002</t>
  </si>
  <si>
    <t>0550086266</t>
  </si>
  <si>
    <t>K-04-032</t>
  </si>
  <si>
    <t>5085012300880595</t>
  </si>
  <si>
    <t>0550086503</t>
  </si>
  <si>
    <t>BAUNILHA MIX - AROMA ARTIFICIAL DE</t>
  </si>
  <si>
    <t>K-04-003</t>
  </si>
  <si>
    <t>0550086268</t>
  </si>
  <si>
    <t>K-04-001</t>
  </si>
  <si>
    <t>K-04-006</t>
  </si>
  <si>
    <t>K-04-031</t>
  </si>
  <si>
    <t>5085021400350595</t>
  </si>
  <si>
    <t>0550086748</t>
  </si>
  <si>
    <t>CEREJA MIX - AROMA ARTIFICIAL DE</t>
  </si>
  <si>
    <t>5085024200480595</t>
  </si>
  <si>
    <t>0550086241</t>
  </si>
  <si>
    <t>CHOCOLATE MIX - AROMA ARTIFICIAL DE</t>
  </si>
  <si>
    <t>K-01-003</t>
  </si>
  <si>
    <t>5085025700550595</t>
  </si>
  <si>
    <t>0550085374</t>
  </si>
  <si>
    <t>COCO MIX - AROMA ARTIFICIAL DE</t>
  </si>
  <si>
    <t>K-01-001</t>
  </si>
  <si>
    <t>0550086749</t>
  </si>
  <si>
    <t>5085032400470595</t>
  </si>
  <si>
    <t>0550075888</t>
  </si>
  <si>
    <t>DOCE DE LEITE MIX LIPO - AROMA ARTIFIC</t>
  </si>
  <si>
    <t>0550086262</t>
  </si>
  <si>
    <t>0550076644</t>
  </si>
  <si>
    <t>5085047600210595</t>
  </si>
  <si>
    <t>0550076646</t>
  </si>
  <si>
    <t>LEITE CONDENSADO MIX LIPO - AROMA ARTI</t>
  </si>
  <si>
    <t>5085048400410595</t>
  </si>
  <si>
    <t>LIMÃO MIX - AROMA IDÊNTICO AO NATURAL</t>
  </si>
  <si>
    <t>0550086747</t>
  </si>
  <si>
    <t>0550086103</t>
  </si>
  <si>
    <t>K-01-002</t>
  </si>
  <si>
    <t>5085048400580595</t>
  </si>
  <si>
    <t>0550086744</t>
  </si>
  <si>
    <t>LIMÃO MIX LIPO - AROMA IDÊNTICO AO NAT</t>
  </si>
  <si>
    <t>5085052900720595</t>
  </si>
  <si>
    <t>0550086506</t>
  </si>
  <si>
    <t>MANTEIGA MIX - AROMA ARTIFICIAL DE</t>
  </si>
  <si>
    <t>K-01-004</t>
  </si>
  <si>
    <t>5085053200270595</t>
  </si>
  <si>
    <t>0550086099</t>
  </si>
  <si>
    <t>MARACUJÁ MIX - AROMA IDÊNTICO AO NATUR</t>
  </si>
  <si>
    <t>0550086751</t>
  </si>
  <si>
    <t>5085056600270595</t>
  </si>
  <si>
    <t>0550086101</t>
  </si>
  <si>
    <t>MENTA MIX LIPO - AROMA IDÊNTICO AO NAT</t>
  </si>
  <si>
    <t>5085058200050595</t>
  </si>
  <si>
    <t>0550085282</t>
  </si>
  <si>
    <t>MILHO VERDE MIX - AROMA ARTIFICIAL DE</t>
  </si>
  <si>
    <t>5085058501120595</t>
  </si>
  <si>
    <t>0550086507</t>
  </si>
  <si>
    <t>MORANGO MIX - AROMA IDÊNTICO AO NATURA</t>
  </si>
  <si>
    <t>5085060400120595</t>
  </si>
  <si>
    <t>0550086238</t>
  </si>
  <si>
    <t>NOZES MIX - AROMA IDÊNTICO AO NATURAL</t>
  </si>
  <si>
    <t>5085061000050595</t>
  </si>
  <si>
    <t>0550076640</t>
  </si>
  <si>
    <t>PÃO DE MEL MIX LIPO - AROMA IDÊNTICO A</t>
  </si>
  <si>
    <t>5085062800230595</t>
  </si>
  <si>
    <t>0550085366</t>
  </si>
  <si>
    <t>PANETONE MIX - AROMA ARTIFICIAL DE</t>
  </si>
  <si>
    <t>K-04-005</t>
  </si>
  <si>
    <t>0550085365</t>
  </si>
  <si>
    <t>5085067600050595</t>
  </si>
  <si>
    <t>0550086233</t>
  </si>
  <si>
    <t>PISTACHE MIX LIPO - AROMA ARTIFICIAL D</t>
  </si>
  <si>
    <t>5085071000000595</t>
  </si>
  <si>
    <t>0550086746</t>
  </si>
  <si>
    <t>RUM JAMAICA MIX - AROMA ARTIFICIAL DE</t>
  </si>
  <si>
    <t>5085075700020595</t>
  </si>
  <si>
    <t>0550076390</t>
  </si>
  <si>
    <t>TRUFA MIX LIPO - AROMA IDÊNTICO AO NAT</t>
  </si>
  <si>
    <t>5085083200180595</t>
  </si>
  <si>
    <t>0550076387</t>
  </si>
  <si>
    <t>FRUTAS VERMELHAS MIX LIPO - AROMA IDÊN</t>
  </si>
  <si>
    <t>0550086508</t>
  </si>
  <si>
    <t>J-01-015</t>
  </si>
  <si>
    <t>5085083600030595</t>
  </si>
  <si>
    <t>0550085773</t>
  </si>
  <si>
    <t>WHISKY MIX LIPO - AROMA ARTIFICIAL DE</t>
  </si>
  <si>
    <t>5085118400080595</t>
  </si>
  <si>
    <t>0550077810</t>
  </si>
  <si>
    <t>TORTA DE LIMÃO MIX LIPO - AROMA ARTIFI</t>
  </si>
  <si>
    <t>5085141100010595</t>
  </si>
  <si>
    <t>0550085771</t>
  </si>
  <si>
    <t>LICOR DE CREME MIX LIPO - AROMA ARTIFI</t>
  </si>
  <si>
    <t>5085223700000595</t>
  </si>
  <si>
    <t>0550085373</t>
  </si>
  <si>
    <t>CACHAÇA MIX LIPO - AROMA ARTIFICIAL DE</t>
  </si>
  <si>
    <t>5085229600000595</t>
  </si>
  <si>
    <t>0550082416</t>
  </si>
  <si>
    <t>PIPOCA CARAMELIZADA MIX - AROMA ARTIFI</t>
  </si>
  <si>
    <t>5085230400000595</t>
  </si>
  <si>
    <t>0550085380</t>
  </si>
  <si>
    <t>PÉ DE MOLEQUE MIX - AROMA ARTIFICIAL D</t>
  </si>
  <si>
    <t>Saldo PIK</t>
  </si>
  <si>
    <t>Data do vencimento</t>
  </si>
  <si>
    <t>Ár.armazen.</t>
  </si>
  <si>
    <t>PIK</t>
  </si>
  <si>
    <t>J-01-001</t>
  </si>
  <si>
    <t>GER</t>
  </si>
  <si>
    <t>0550079702</t>
  </si>
  <si>
    <t>5032203000000787</t>
  </si>
  <si>
    <t>0550075242</t>
  </si>
  <si>
    <t>VERDE ÁGUA CORANTE EM PÓ LIPOSSOLÚVEL</t>
  </si>
  <si>
    <t>0550078293</t>
  </si>
  <si>
    <t>0550079699</t>
  </si>
  <si>
    <t>5085083200280595</t>
  </si>
  <si>
    <t>0550082109</t>
  </si>
  <si>
    <t>FRUTAS VERMELHAS MIX - AROMA ARTIFICIA</t>
  </si>
  <si>
    <t>0550078812</t>
  </si>
  <si>
    <t>0550086234</t>
  </si>
  <si>
    <t>0550086263</t>
  </si>
  <si>
    <t>5085222900000595</t>
  </si>
  <si>
    <t>0550086232</t>
  </si>
  <si>
    <t>CARAMELO TOFFEE MIX LIPO - AROMA ARTIF</t>
  </si>
  <si>
    <t>0550085098</t>
  </si>
  <si>
    <t>0550086236</t>
  </si>
  <si>
    <t>5085045400460595</t>
  </si>
  <si>
    <t>0550076645</t>
  </si>
  <si>
    <t>LARANJA MIX LIPO - AROMA ARTIFICIAL DE</t>
  </si>
  <si>
    <t>0550085377</t>
  </si>
  <si>
    <t>0550084322</t>
  </si>
  <si>
    <t>0550084184</t>
  </si>
  <si>
    <t>0550084321</t>
  </si>
  <si>
    <t>0550082309</t>
  </si>
  <si>
    <t>0550084182</t>
  </si>
  <si>
    <t>PD-01-002</t>
  </si>
  <si>
    <t>5032130700010787</t>
  </si>
  <si>
    <t>0550073935</t>
  </si>
  <si>
    <t>AZUL MARINHO CORANTE EM PÓ LIPOSSOLÚV</t>
  </si>
  <si>
    <t>PD-01-003</t>
  </si>
  <si>
    <t>5032130300010787</t>
  </si>
  <si>
    <t>0550073687</t>
  </si>
  <si>
    <t>AZUL CORANTE EM PÓ LIPOSSOLÚVEL</t>
  </si>
  <si>
    <t>PD-01-005</t>
  </si>
  <si>
    <t>0550083077</t>
  </si>
  <si>
    <t>PD-01-006</t>
  </si>
  <si>
    <t>0550084375</t>
  </si>
  <si>
    <t>5085016500250595</t>
  </si>
  <si>
    <t>CAFÉ MIX LIPO - AROMA IDÊNTICO AO NATU</t>
  </si>
  <si>
    <t>PD-01-007</t>
  </si>
  <si>
    <t>0550086230</t>
  </si>
  <si>
    <t>PD-01-008</t>
  </si>
  <si>
    <t>PD-01-009</t>
  </si>
  <si>
    <t>0550086729</t>
  </si>
  <si>
    <t>PD-01-010</t>
  </si>
  <si>
    <t>PD-02-001</t>
  </si>
  <si>
    <t>5032126500010670</t>
  </si>
  <si>
    <t>0550083911</t>
  </si>
  <si>
    <t>VERDE MUSGO PÓ - CORANTE ARTIFICIAL PA</t>
  </si>
  <si>
    <t>PD-02-002</t>
  </si>
  <si>
    <t>5032134600000670</t>
  </si>
  <si>
    <t>VERMELHO PÓ - CORANTE ARTIFICIAL PARA</t>
  </si>
  <si>
    <t>PD-02-004</t>
  </si>
  <si>
    <t>0550082762</t>
  </si>
  <si>
    <t>PD-02-005</t>
  </si>
  <si>
    <t>0550077984</t>
  </si>
  <si>
    <t>PD-02-006</t>
  </si>
  <si>
    <t>5032134000010670</t>
  </si>
  <si>
    <t>0550082235</t>
  </si>
  <si>
    <t>TURQUESA PÓ - CORANTE ARTIFICIAL PARA</t>
  </si>
  <si>
    <t>PD-02-007</t>
  </si>
  <si>
    <t>PD-02-008</t>
  </si>
  <si>
    <t>0550083296</t>
  </si>
  <si>
    <t>PD-02-009</t>
  </si>
  <si>
    <t>5032045400000787</t>
  </si>
  <si>
    <t>0550085249</t>
  </si>
  <si>
    <t>LARANJA PÓ - CORANTE ARTIFICIAL DE GRA</t>
  </si>
  <si>
    <t>PD-02-010</t>
  </si>
  <si>
    <t>PD-03-001</t>
  </si>
  <si>
    <t>PD-03-002</t>
  </si>
  <si>
    <t>PD-03-003</t>
  </si>
  <si>
    <t>5032130800000670</t>
  </si>
  <si>
    <t>0550083481</t>
  </si>
  <si>
    <t>BRANCO PÓ - CORANTE ARTIFICIAL PARA FI</t>
  </si>
  <si>
    <t>PD-03-004</t>
  </si>
  <si>
    <t>PD-03-005</t>
  </si>
  <si>
    <t>5032071200000670</t>
  </si>
  <si>
    <t>0550086574</t>
  </si>
  <si>
    <t>ROSA PÓ - CORANTE ARTIFICIAL PARA FINS</t>
  </si>
  <si>
    <t>PD-03-006</t>
  </si>
  <si>
    <t>0550083412</t>
  </si>
  <si>
    <t>5032133000020670</t>
  </si>
  <si>
    <t>0550084485</t>
  </si>
  <si>
    <t>PRETO PÓ - CORANTE ARTIFICIAL PARA FIN</t>
  </si>
  <si>
    <t>0550082916</t>
  </si>
  <si>
    <t>PD-03-007</t>
  </si>
  <si>
    <t>5032134200000787</t>
  </si>
  <si>
    <t>0550073139</t>
  </si>
  <si>
    <t>VERDE BANDEIRA CORANTE EM PÓ LIPOSSOL</t>
  </si>
  <si>
    <t>PD-03-008</t>
  </si>
  <si>
    <t>5032133300000787</t>
  </si>
  <si>
    <t>0550082516</t>
  </si>
  <si>
    <t>PD-03-009</t>
  </si>
  <si>
    <t>PD-03-010</t>
  </si>
  <si>
    <t>PD-04-002</t>
  </si>
  <si>
    <t>PD-04-003</t>
  </si>
  <si>
    <t>5032132000000787</t>
  </si>
  <si>
    <t>0550083482</t>
  </si>
  <si>
    <t>MARROM CHOCOLATE PÓ - CORANTE ARTIFICI</t>
  </si>
  <si>
    <t>PD-04-004</t>
  </si>
  <si>
    <t>PD-04-005</t>
  </si>
  <si>
    <t>PD-04-006</t>
  </si>
  <si>
    <t>5053205800000584</t>
  </si>
  <si>
    <t>0550067844</t>
  </si>
  <si>
    <t>LARANJA TANGERINA BECA - SOFTGEL - COR</t>
  </si>
  <si>
    <t>PD-04-007</t>
  </si>
  <si>
    <t>PD-04-008</t>
  </si>
  <si>
    <t>PD-04-009</t>
  </si>
  <si>
    <t>0550082316</t>
  </si>
  <si>
    <t>PD-04-010</t>
  </si>
  <si>
    <t>PE-01-001</t>
  </si>
  <si>
    <t>PE-01-002</t>
  </si>
  <si>
    <t>PE-02-001</t>
  </si>
  <si>
    <t>0550081502</t>
  </si>
  <si>
    <t>PE-02-002</t>
  </si>
  <si>
    <t>PE-03-001</t>
  </si>
  <si>
    <t>PE-03-002</t>
  </si>
  <si>
    <t>0550082518</t>
  </si>
  <si>
    <t>PE-04-001</t>
  </si>
  <si>
    <t>PE-04-002</t>
  </si>
  <si>
    <t>PF-01-001</t>
  </si>
  <si>
    <t>PF-01-002</t>
  </si>
  <si>
    <t>PF-01-003</t>
  </si>
  <si>
    <t>PF-01-007</t>
  </si>
  <si>
    <t>5053072500000584</t>
  </si>
  <si>
    <t>0550071440</t>
  </si>
  <si>
    <t>SALMÃO SOFTGEL - MISTURA DE CORANTES A</t>
  </si>
  <si>
    <t>PF-01-008</t>
  </si>
  <si>
    <t>PF-01-009</t>
  </si>
  <si>
    <t>PF-01-010</t>
  </si>
  <si>
    <t>PF-01-011</t>
  </si>
  <si>
    <t>PF-01-012</t>
  </si>
  <si>
    <t>0550085554</t>
  </si>
  <si>
    <t>PF-01-013</t>
  </si>
  <si>
    <t>0550084308</t>
  </si>
  <si>
    <t>PF-01-014</t>
  </si>
  <si>
    <t>0550085555</t>
  </si>
  <si>
    <t>PF-01-015</t>
  </si>
  <si>
    <t>PF-01-016</t>
  </si>
  <si>
    <t>PF-01-017</t>
  </si>
  <si>
    <t>0550085012</t>
  </si>
  <si>
    <t>PF-01-018</t>
  </si>
  <si>
    <t>PF-01-019</t>
  </si>
  <si>
    <t>PF-01-020</t>
  </si>
  <si>
    <t>5003130900000596</t>
  </si>
  <si>
    <t>0550084604</t>
  </si>
  <si>
    <t>BRANCO LEITE LÍQUIDO - CORANTE ARTIFIC</t>
  </si>
  <si>
    <t>PF-01-021</t>
  </si>
  <si>
    <t>PF-01-022</t>
  </si>
  <si>
    <t>PF-01-023</t>
  </si>
  <si>
    <t>PF-01-024</t>
  </si>
  <si>
    <t>PF-01-025</t>
  </si>
  <si>
    <t>5003130100000596</t>
  </si>
  <si>
    <t>0550086499</t>
  </si>
  <si>
    <t>AMARELO DAMASCO LÍQUIDO - CORANTE ARTI</t>
  </si>
  <si>
    <t>PF-01-026</t>
  </si>
  <si>
    <t>0550084601</t>
  </si>
  <si>
    <t>PF-01-027</t>
  </si>
  <si>
    <t>5003072500000596</t>
  </si>
  <si>
    <t>0550084002</t>
  </si>
  <si>
    <t>SALMÃO LÍQUIDO - MISTURA DE CORANTES A</t>
  </si>
  <si>
    <t>PF-01-028</t>
  </si>
  <si>
    <t>5003135400000596</t>
  </si>
  <si>
    <t>0550085762</t>
  </si>
  <si>
    <t>VIOLETA LÍQUIDO - MISTURA DE CORANTES</t>
  </si>
  <si>
    <t>PF-01-029</t>
  </si>
  <si>
    <t>5053134000000700</t>
  </si>
  <si>
    <t>0550077944</t>
  </si>
  <si>
    <t>PF-01-030</t>
  </si>
  <si>
    <t>PF-01-031</t>
  </si>
  <si>
    <t>PF-01-033</t>
  </si>
  <si>
    <t>PF-01-034</t>
  </si>
  <si>
    <t>PF-01-035</t>
  </si>
  <si>
    <t>PF-01-036</t>
  </si>
  <si>
    <t>0550084263</t>
  </si>
  <si>
    <t>PF-01-037</t>
  </si>
  <si>
    <t>PF-01-038</t>
  </si>
  <si>
    <t>PF-01-039</t>
  </si>
  <si>
    <t>PF-01-040</t>
  </si>
  <si>
    <t>PF-01-041</t>
  </si>
  <si>
    <t>PF-01-042</t>
  </si>
  <si>
    <t>PF-01-043</t>
  </si>
  <si>
    <t>PF-01-045</t>
  </si>
  <si>
    <t>PF-01-046</t>
  </si>
  <si>
    <t>PF-01-047</t>
  </si>
  <si>
    <t>PF-01-048</t>
  </si>
  <si>
    <t>PF-01-049</t>
  </si>
  <si>
    <t>PF-01-050</t>
  </si>
  <si>
    <t>PF-01-051</t>
  </si>
  <si>
    <t>PF-01-052</t>
  </si>
  <si>
    <t>PF-01-053</t>
  </si>
  <si>
    <t>PF-01-054</t>
  </si>
  <si>
    <t>PF-01-055</t>
  </si>
  <si>
    <t>PF-01-056</t>
  </si>
  <si>
    <t>PF-01-057</t>
  </si>
  <si>
    <t>0550083371</t>
  </si>
  <si>
    <t>0550084346</t>
  </si>
  <si>
    <t>PF-01-058</t>
  </si>
  <si>
    <t>PG-01-007</t>
  </si>
  <si>
    <t>5085056600220595</t>
  </si>
  <si>
    <t>0550084373</t>
  </si>
  <si>
    <t>MENTA MIX - AROMA IDÊNTICO AO NATURAL</t>
  </si>
  <si>
    <t>PH-01-001</t>
  </si>
  <si>
    <t>0550073432</t>
  </si>
  <si>
    <t>PH-01-002</t>
  </si>
  <si>
    <t>PH-01-003</t>
  </si>
  <si>
    <t>PH-01-004</t>
  </si>
  <si>
    <t>PH-01-005</t>
  </si>
  <si>
    <t>PH-01-006</t>
  </si>
  <si>
    <t>PH-01-007</t>
  </si>
  <si>
    <t>PH-01-008</t>
  </si>
  <si>
    <t>PH-01-009</t>
  </si>
  <si>
    <t>5053005200000593</t>
  </si>
  <si>
    <t>AMARELO CHOCO TINT - CORANTE ARTIFICIA</t>
  </si>
  <si>
    <t>PH-01-010</t>
  </si>
  <si>
    <t>5053005200010594</t>
  </si>
  <si>
    <t>0550074695</t>
  </si>
  <si>
    <t>AMARELO GEL - CORANTE ARTIFICIAL PARA</t>
  </si>
  <si>
    <t>PH-01-011</t>
  </si>
  <si>
    <t>PH-01-012</t>
  </si>
  <si>
    <t>PH-01-013</t>
  </si>
  <si>
    <t>PH-01-014</t>
  </si>
  <si>
    <t>5053130400000594</t>
  </si>
  <si>
    <t>0550072852</t>
  </si>
  <si>
    <t>AZUL ANIS GEL - CORANTE ARTIFICIAL PAR</t>
  </si>
  <si>
    <t>PH-01-015</t>
  </si>
  <si>
    <t>5053206000000584</t>
  </si>
  <si>
    <t>0550072714</t>
  </si>
  <si>
    <t>CINZA SUSPIRO BECA - SOFTGEL - CORANTE</t>
  </si>
  <si>
    <t>PH-01-016</t>
  </si>
  <si>
    <t>PH-01-017</t>
  </si>
  <si>
    <t>5053205200000584</t>
  </si>
  <si>
    <t>0550075165</t>
  </si>
  <si>
    <t>ROXO MARSHMALLOW BECA - SOFTGEL - CORA</t>
  </si>
  <si>
    <t>PH-01-018</t>
  </si>
  <si>
    <t>5053205500000584</t>
  </si>
  <si>
    <t>0550071062</t>
  </si>
  <si>
    <t>VERDE ÁGUA CONFETE BECA - SOFTGEL - CO</t>
  </si>
  <si>
    <t>PH-01-019</t>
  </si>
  <si>
    <t>PH-01-021</t>
  </si>
  <si>
    <t>PH-01-022</t>
  </si>
  <si>
    <t>5053005200060584</t>
  </si>
  <si>
    <t>0550076927</t>
  </si>
  <si>
    <t>AMARELO NEON SOFTGEL - CORANTE ARTIFIC</t>
  </si>
  <si>
    <t>PH-01-023</t>
  </si>
  <si>
    <t>PH-01-024</t>
  </si>
  <si>
    <t>5053205600000584</t>
  </si>
  <si>
    <t>0550069358</t>
  </si>
  <si>
    <t>VERDE LIMONADA BECA - SOFTGEL - CORANT</t>
  </si>
  <si>
    <t>PH-01-025</t>
  </si>
  <si>
    <t>5053205000000584</t>
  </si>
  <si>
    <t>0550072169</t>
  </si>
  <si>
    <t>BORDÔ JABUTICABA BECA - SOFTGEL - CORA</t>
  </si>
  <si>
    <t>PH-01-026</t>
  </si>
  <si>
    <t>PH-01-027</t>
  </si>
  <si>
    <t>PH-01-028</t>
  </si>
  <si>
    <t>PH-01-029</t>
  </si>
  <si>
    <t>PH-01-030</t>
  </si>
  <si>
    <t>PH-01-031</t>
  </si>
  <si>
    <t>PH-01-032</t>
  </si>
  <si>
    <t>PH-01-033</t>
  </si>
  <si>
    <t>PH-01-034</t>
  </si>
  <si>
    <t>PH-01-036</t>
  </si>
  <si>
    <t>PH-01-037</t>
  </si>
  <si>
    <t>PH-01-038</t>
  </si>
  <si>
    <t>PH-01-039</t>
  </si>
  <si>
    <t>PH-01-040</t>
  </si>
  <si>
    <t>PH-01-041</t>
  </si>
  <si>
    <t>PH-01-042</t>
  </si>
  <si>
    <t>PH-01-043</t>
  </si>
  <si>
    <t>PH-01-044</t>
  </si>
  <si>
    <t>PH-01-045</t>
  </si>
  <si>
    <t>PH-01-047</t>
  </si>
  <si>
    <t>PH-01-048</t>
  </si>
  <si>
    <t>PH-01-050</t>
  </si>
  <si>
    <t>PH-01-051</t>
  </si>
  <si>
    <t>PI-01-001</t>
  </si>
  <si>
    <t>0550085281</t>
  </si>
  <si>
    <t>PI-01-002</t>
  </si>
  <si>
    <t>PI-01-003</t>
  </si>
  <si>
    <t>5085079600180595</t>
  </si>
  <si>
    <t>0550084540</t>
  </si>
  <si>
    <t>TUTTI FRUTTI MIX - AROMA ARTIFICIAL DE</t>
  </si>
  <si>
    <t>PI-01-004</t>
  </si>
  <si>
    <t>0550083996</t>
  </si>
  <si>
    <t>0550085766</t>
  </si>
  <si>
    <t>PI-01-005</t>
  </si>
  <si>
    <t>0550086096</t>
  </si>
  <si>
    <t>PI-01-006</t>
  </si>
  <si>
    <t>0550081522</t>
  </si>
  <si>
    <t>PI-01-007</t>
  </si>
  <si>
    <t>5085053400220595</t>
  </si>
  <si>
    <t>0550086750</t>
  </si>
  <si>
    <t>MARULA MIX - AROMA ARTIFICIAL DE</t>
  </si>
  <si>
    <t>PI-01-008</t>
  </si>
  <si>
    <t>0550085767</t>
  </si>
  <si>
    <t>PI-01-009</t>
  </si>
  <si>
    <t>PI-01-010</t>
  </si>
  <si>
    <t>5085011300300595</t>
  </si>
  <si>
    <t>BANANA MIX - AROMA ARTIFICIAL DE</t>
  </si>
  <si>
    <t>PI-01-011</t>
  </si>
  <si>
    <t>0550085043</t>
  </si>
  <si>
    <t>PI-01-012</t>
  </si>
  <si>
    <t>PI-01-013</t>
  </si>
  <si>
    <t>5085045400250595</t>
  </si>
  <si>
    <t>LARANJA MIX - AROMA NATURAL DE</t>
  </si>
  <si>
    <t>PI-01-014</t>
  </si>
  <si>
    <t>PI-01-015</t>
  </si>
  <si>
    <t>0550086102</t>
  </si>
  <si>
    <t>PI-01-016</t>
  </si>
  <si>
    <t>PI-01-017</t>
  </si>
  <si>
    <t>Variante: /POSIÇÃO.GER</t>
  </si>
  <si>
    <t>Tipo de estoque</t>
  </si>
  <si>
    <t>Nº estoque especial</t>
  </si>
  <si>
    <t>S</t>
  </si>
  <si>
    <t>0550086983</t>
  </si>
  <si>
    <t>0550086982</t>
  </si>
  <si>
    <t>0550086985</t>
  </si>
  <si>
    <t>0550086622</t>
  </si>
  <si>
    <t>J-02-002</t>
  </si>
  <si>
    <t>J-02-011</t>
  </si>
  <si>
    <t>0550086811</t>
  </si>
  <si>
    <t>K-03-023</t>
  </si>
  <si>
    <t>K-04-004</t>
  </si>
  <si>
    <t>0550075984</t>
  </si>
  <si>
    <t>K-02-025</t>
  </si>
  <si>
    <t>0550086637</t>
  </si>
  <si>
    <t>0550086671</t>
  </si>
  <si>
    <t>0550086977</t>
  </si>
  <si>
    <t>0550086763</t>
  </si>
  <si>
    <t>K-01-007</t>
  </si>
  <si>
    <t>0550086965</t>
  </si>
  <si>
    <t>K-04-026</t>
  </si>
  <si>
    <t>0550086743</t>
  </si>
  <si>
    <t>LIQUIDOS</t>
  </si>
  <si>
    <t>SOFT 360</t>
  </si>
  <si>
    <t xml:space="preserve">Variante:estoque geral </t>
  </si>
  <si>
    <t>0550086734</t>
  </si>
  <si>
    <t>0550086473</t>
  </si>
  <si>
    <t>0550086967</t>
  </si>
  <si>
    <t>0550083649</t>
  </si>
  <si>
    <t>0550087024</t>
  </si>
  <si>
    <t>0550087023</t>
  </si>
  <si>
    <t>0550086738</t>
  </si>
  <si>
    <t>0550087019</t>
  </si>
  <si>
    <t>0550086674</t>
  </si>
  <si>
    <t>0550086974</t>
  </si>
  <si>
    <t>0550086973</t>
  </si>
  <si>
    <t>0550086475</t>
  </si>
  <si>
    <t>0550086673</t>
  </si>
  <si>
    <t>0550086989</t>
  </si>
  <si>
    <t>0550086992</t>
  </si>
  <si>
    <t>0550086991</t>
  </si>
  <si>
    <t>0550086623</t>
  </si>
  <si>
    <t>0550087110</t>
  </si>
  <si>
    <t>0550087109</t>
  </si>
  <si>
    <t>0550087021</t>
  </si>
  <si>
    <t>J-02-005</t>
  </si>
  <si>
    <t>0550087022</t>
  </si>
  <si>
    <t>0550086990</t>
  </si>
  <si>
    <t>K-03-020</t>
  </si>
  <si>
    <t>0550086988</t>
  </si>
  <si>
    <t>K-04-008</t>
  </si>
  <si>
    <t>0550086993</t>
  </si>
  <si>
    <t>K-04-009</t>
  </si>
  <si>
    <t>0550086975</t>
  </si>
  <si>
    <t>K-04-010</t>
  </si>
  <si>
    <t>SOFT 900g</t>
  </si>
  <si>
    <t>0550082225</t>
  </si>
  <si>
    <t>AROMAS</t>
  </si>
  <si>
    <t>CLASSIC</t>
  </si>
  <si>
    <t>0550084261</t>
  </si>
  <si>
    <t>BAUNILHA MIX - AROMA ARTIFICIAL</t>
  </si>
  <si>
    <t>0550086269</t>
  </si>
  <si>
    <t>0550085294</t>
  </si>
  <si>
    <t>PF 150G</t>
  </si>
  <si>
    <t>0550086037</t>
  </si>
  <si>
    <t>TINT</t>
  </si>
  <si>
    <t>0550087016</t>
  </si>
  <si>
    <t>0550087305</t>
  </si>
  <si>
    <t>0550077130</t>
  </si>
  <si>
    <t>0550087201</t>
  </si>
  <si>
    <t>0550087199</t>
  </si>
  <si>
    <t>0550086737</t>
  </si>
  <si>
    <t>0550087198</t>
  </si>
  <si>
    <t>0550087217</t>
  </si>
  <si>
    <t>0550087218</t>
  </si>
  <si>
    <t>0550087031</t>
  </si>
  <si>
    <t>0550087034</t>
  </si>
  <si>
    <t>0550086767</t>
  </si>
  <si>
    <t>0550086736</t>
  </si>
  <si>
    <t>0550087369</t>
  </si>
  <si>
    <t>0550087026</t>
  </si>
  <si>
    <t>0550087025</t>
  </si>
  <si>
    <t>0550087030</t>
  </si>
  <si>
    <t>0550087033</t>
  </si>
  <si>
    <t>0550087027</t>
  </si>
  <si>
    <t>0550087028</t>
  </si>
  <si>
    <t>0550087194</t>
  </si>
  <si>
    <t>0550086771</t>
  </si>
  <si>
    <t>0550087032</t>
  </si>
  <si>
    <t>0550087407</t>
  </si>
  <si>
    <t>0550087408</t>
  </si>
  <si>
    <t>0550087336</t>
  </si>
  <si>
    <t>0550087107</t>
  </si>
  <si>
    <t>0550086986</t>
  </si>
  <si>
    <t>0550087334</t>
  </si>
  <si>
    <t>0550087406</t>
  </si>
  <si>
    <t>0550087333</t>
  </si>
  <si>
    <t>0550087202</t>
  </si>
  <si>
    <t>0550087204</t>
  </si>
  <si>
    <t>0550087020</t>
  </si>
  <si>
    <t>0550086419</t>
  </si>
  <si>
    <t>0550086976</t>
  </si>
  <si>
    <t>J-02-030</t>
  </si>
  <si>
    <t>0550087197</t>
  </si>
  <si>
    <t>J-02-032</t>
  </si>
  <si>
    <t>J-03-003</t>
  </si>
  <si>
    <t>0550087196</t>
  </si>
  <si>
    <t>0550086984</t>
  </si>
  <si>
    <t>K-01-006</t>
  </si>
  <si>
    <t>0550086987</t>
  </si>
  <si>
    <t>0550086505</t>
  </si>
  <si>
    <t>K-01-027</t>
  </si>
  <si>
    <t>K-03-022</t>
  </si>
  <si>
    <t>0550087328</t>
  </si>
  <si>
    <t>0550087170</t>
  </si>
  <si>
    <t>0550087168</t>
  </si>
  <si>
    <t>0550087335</t>
  </si>
  <si>
    <t>0550087327</t>
  </si>
  <si>
    <t>K-04-029</t>
  </si>
  <si>
    <t>0550087169</t>
  </si>
  <si>
    <t>0550085375</t>
  </si>
  <si>
    <t>0550078294</t>
  </si>
  <si>
    <t>0550087563</t>
  </si>
  <si>
    <t>Vaga PH 150G</t>
  </si>
  <si>
    <t>0550087364</t>
  </si>
  <si>
    <t>0550087363</t>
  </si>
  <si>
    <t>0550087485</t>
  </si>
  <si>
    <t>0550087366</t>
  </si>
  <si>
    <t>0550087491</t>
  </si>
  <si>
    <t>0550070379</t>
  </si>
  <si>
    <t>0550087411</t>
  </si>
  <si>
    <t>0550087489</t>
  </si>
  <si>
    <t>0550087540</t>
  </si>
  <si>
    <t>0550086653</t>
  </si>
  <si>
    <t>J-01-029</t>
  </si>
  <si>
    <t>J-01-032</t>
  </si>
  <si>
    <t>J-03-023</t>
  </si>
  <si>
    <t>J-04-005</t>
  </si>
  <si>
    <t>0550087367</t>
  </si>
  <si>
    <t>K-02-006</t>
  </si>
  <si>
    <t>0550087409</t>
  </si>
  <si>
    <t>0550087410</t>
  </si>
  <si>
    <t>K-04-023</t>
  </si>
  <si>
    <t>Saldo 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</si>
</sst>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theme="0"/>
      <name val="Arial Black"/>
      <family val="2"/>
    </font>
    <font>
      <sz val="11"/>
      <color theme="1"/>
      <name val="Calibri"/>
      <family val="2"/>
      <scheme val="minor"/>
    </font>
    <font>
      <b/>
      <sz val="10"/>
      <color theme="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theme="4"/>
      </patternFill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CC"/>
        <bgColor theme="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3">
    <xf numFmtId="0" fontId="0" fillId="0" borderId="0" xfId="0"/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5" fontId="0" fillId="0" borderId="0" xfId="0" applyNumberFormat="1"/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6" borderId="0" xfId="0" applyFill="1"/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/>
    <xf numFmtId="164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49" fontId="1" fillId="2" borderId="3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7" borderId="2" xfId="0" applyFont="1" applyFill="1" applyBorder="1"/>
    <xf numFmtId="49" fontId="1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8" borderId="0" xfId="0" applyFill="1"/>
    <xf numFmtId="0" fontId="6" fillId="7" borderId="2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49" fontId="1" fillId="4" borderId="2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49" fontId="1" fillId="9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165" fontId="0" fillId="0" borderId="1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0" fillId="10" borderId="5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49" fontId="0" fillId="0" borderId="0" xfId="0" applyNumberFormat="1" applyBorder="1"/>
    <xf numFmtId="49" fontId="0" fillId="10" borderId="5" xfId="0" applyNumberFormat="1" applyFont="1" applyFill="1" applyBorder="1" applyAlignment="1">
      <alignment horizontal="center"/>
    </xf>
    <xf numFmtId="49" fontId="0" fillId="10" borderId="1" xfId="0" applyNumberFormat="1" applyFont="1" applyFill="1" applyBorder="1" applyAlignment="1">
      <alignment horizontal="center"/>
    </xf>
    <xf numFmtId="49" fontId="0" fillId="10" borderId="6" xfId="0" applyNumberFormat="1" applyFont="1" applyFill="1" applyBorder="1" applyAlignment="1">
      <alignment horizontal="center"/>
    </xf>
    <xf numFmtId="165" fontId="0" fillId="0" borderId="8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0" fontId="0" fillId="5" borderId="3" xfId="0" applyFont="1" applyFill="1" applyBorder="1"/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2" fillId="0" borderId="6" xfId="1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DDDD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outline="0">
        <top style="thin">
          <color indexed="64"/>
        </top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FF66CC"/>
      <color rgb="FFFF6969"/>
      <color rgb="FFFFA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12431-5FCB-4124-959A-BCE3FA1572AF}" name="Tabela1" displayName="Tabela1" ref="A3:O397" totalsRowShown="0" headerRowDxfId="0" dataDxfId="1" headerRowBorderDxfId="17" tableBorderDxfId="18">
  <autoFilter ref="A3:O397" xr:uid="{24984F22-8EF0-4EA5-AD2D-B00BB0315AD0}"/>
  <sortState ref="A5:O291">
    <sortCondition ref="J3:J343"/>
  </sortState>
  <tableColumns count="15">
    <tableColumn id="1" xr3:uid="{EC8458D3-238E-4F5B-9FBD-D94923E7D754}" name="Material" dataDxfId="16"/>
    <tableColumn id="2" xr3:uid="{394D4063-A94B-48A4-85D2-9F0F7723CCC3}" name="Centro" dataDxfId="15"/>
    <tableColumn id="3" xr3:uid="{58A51BBD-5DAA-4DA8-86BE-7F6E69FC5A51}" name="Depósito" dataDxfId="14"/>
    <tableColumn id="4" xr3:uid="{2D85FA9A-C074-4766-83B3-A636665C3202}" name="Tipo de estoque" dataDxfId="13"/>
    <tableColumn id="5" xr3:uid="{32377D69-D9FD-496B-805B-88C100146EEC}" name="Lote" dataDxfId="12"/>
    <tableColumn id="6" xr3:uid="{05AA0D6E-96EA-4B76-B975-2E42C5DE4BD9}" name="Estoque especial" dataDxfId="11"/>
    <tableColumn id="7" xr3:uid="{56C76476-F71B-455B-B854-3C9D8D3056A4}" name="Nº estoque especial" dataDxfId="10"/>
    <tableColumn id="8" xr3:uid="{C0E474A3-AAA6-4EEA-9681-0107C204937F}" name="Texto breve material" dataDxfId="9"/>
    <tableColumn id="9" xr3:uid="{85DA5DCA-5265-49DE-A60A-690CD1776004}" name="Tipo de depósito" dataDxfId="8"/>
    <tableColumn id="10" xr3:uid="{1F5C00AD-77C4-4D7B-BB07-592956CB41D7}" name="Posição no depósito" dataDxfId="7"/>
    <tableColumn id="11" xr3:uid="{88E01416-18D5-4EB3-A662-1FFA9FD835E0}" name="Estoque disponível" dataDxfId="6"/>
    <tableColumn id="12" xr3:uid="{A07C3426-6F42-4195-A6DC-769F8B54A0E1}" name="Unid.medida básica" dataDxfId="5"/>
    <tableColumn id="13" xr3:uid="{90AC0356-1F9C-4D6B-82B9-91D94566C26C}" name="Data da entrada de mercadorias" dataDxfId="4"/>
    <tableColumn id="14" xr3:uid="{80CC4165-AFAD-4AD3-9C70-8188AA8E5B7F}" name="Data do vencimento" dataDxfId="3"/>
    <tableColumn id="15" xr3:uid="{5020558E-677F-4436-8210-C9960EB6C23A}" name="Ár.armazen." dataDxfId="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0DE49B-6966-45C6-B2B4-25F9206FFFB5}" name="Tabela4" displayName="Tabela4" ref="A3:O234" totalsRowShown="0" headerRowDxfId="19" dataDxfId="20" headerRowBorderDxfId="36" tableBorderDxfId="37">
  <autoFilter ref="A3:O234" xr:uid="{8CF7F983-2EAF-4E13-8729-7648B41AC4BE}"/>
  <sortState ref="A4:O232">
    <sortCondition ref="J3:J232"/>
  </sortState>
  <tableColumns count="15">
    <tableColumn id="1" xr3:uid="{F1647401-888E-42F4-BCD8-A27DC574511C}" name="Material" dataDxfId="35"/>
    <tableColumn id="2" xr3:uid="{06F9BA53-08C4-4982-81D2-FE993B87D5DA}" name="Centro" dataDxfId="34"/>
    <tableColumn id="3" xr3:uid="{74F4B5DF-6477-44CA-A694-C021D2279765}" name="Depósito" dataDxfId="33"/>
    <tableColumn id="4" xr3:uid="{90EF9A50-850D-4171-A138-892C4FBDFD5A}" name="Tipo de estoque" dataDxfId="32"/>
    <tableColumn id="5" xr3:uid="{A957588F-5170-4CDB-98BF-C5140F4577CE}" name="Lote" dataDxfId="31"/>
    <tableColumn id="6" xr3:uid="{FF645D08-BBAF-4073-8A18-71FE0FA388BA}" name="Estoque especial" dataDxfId="30"/>
    <tableColumn id="7" xr3:uid="{5A5B9690-B6F9-4BA1-A0B9-1860FBAD5E60}" name="Nº estoque especial" dataDxfId="29"/>
    <tableColumn id="8" xr3:uid="{29E18712-733F-4B72-9822-C165792B1D53}" name="Texto breve material" dataDxfId="28"/>
    <tableColumn id="9" xr3:uid="{4CBAEAA9-EC08-4014-A4E8-526882350C8D}" name="Tipo de depósito" dataDxfId="27"/>
    <tableColumn id="10" xr3:uid="{6D43A204-4E03-4348-A4DA-748B3BCA5C50}" name="Posição no depósito" dataDxfId="26"/>
    <tableColumn id="11" xr3:uid="{8EB43723-2C0C-4531-8D5E-4CABAFA1C973}" name="Estoque disponível" dataDxfId="25"/>
    <tableColumn id="12" xr3:uid="{2F9EB767-922A-42F2-A2CA-CCD19E6DE0E8}" name="Unid.medida básica" dataDxfId="24"/>
    <tableColumn id="13" xr3:uid="{BD76E42F-9D01-4533-BDBA-DF984AC0D9D6}" name="Data da entrada de mercadorias" dataDxfId="23"/>
    <tableColumn id="14" xr3:uid="{806421DF-540D-4C26-866A-BD2DAB03D26B}" name="Data do vencimento" dataDxfId="22"/>
    <tableColumn id="15" xr3:uid="{C3D9CE49-C7AB-4C1B-9AFB-7E4EB5B950C6}" name="Ár.armazen." dataDxfId="21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1881AE-35FE-469C-B4AD-6013427FCA39}" name="Tabela2" displayName="Tabela2" ref="B2:I10" totalsRowShown="0" headerRowDxfId="161" dataDxfId="159" headerRowBorderDxfId="160" tableBorderDxfId="158" totalsRowBorderDxfId="157">
  <autoFilter ref="B2:I10" xr:uid="{D920C8AF-A9EB-4F37-A377-2E074BD0093C}"/>
  <tableColumns count="8">
    <tableColumn id="1" xr3:uid="{A4E36146-6810-4794-B9CF-DDA64BBDB2D9}" name="Vaga PG" dataDxfId="156"/>
    <tableColumn id="2" xr3:uid="{B83E5A62-0AC7-4CD7-9C4D-E3FA4E430E25}" name="Material" dataDxfId="155"/>
    <tableColumn id="3" xr3:uid="{F3F9F21F-5B38-4471-945F-4CBED0C389ED}" name="Nome Material" dataDxfId="154"/>
    <tableColumn id="4" xr3:uid="{9FA85B27-1E30-4712-A2E8-2405EFAD4AA1}" name="Saldo PIK" dataDxfId="153">
      <calculatedColumnFormula>VALUE(SUMIFS(Tabela4[Estoque disponível],Tabela4[Material],'Ressuprimento 1'!C3))</calculatedColumnFormula>
    </tableColumn>
    <tableColumn id="5" xr3:uid="{76870CD6-F9AA-480A-959D-624FA471C196}" name="Peso Min" dataDxfId="152"/>
    <tableColumn id="7" xr3:uid="{56155426-168D-4A44-BB74-B5F8DFA3C4D8}" name="Prox/Atual" dataDxfId="151"/>
    <tableColumn id="8" xr3:uid="{B3A09323-EC42-4E67-B78B-9BF38A11CA18}" name="Lote" dataDxfId="59"/>
    <tableColumn id="6" xr3:uid="{5B1BB825-575B-4B05-BDA3-B331ADFCFC8B}" name="Saldo PES" dataDxfId="58">
      <calculatedColumnFormula>SUMIFS(Tabela1[Estoque disponível],Tabela1[Posição no depósito],Tabela2[[#This Row],[Prox/Atual]],Tabela1[Lote],Tabela2[[#This Row],[Lote]])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E37732-E826-4E7F-B8D5-8EFA8F80FDA1}" name="Tabela24" displayName="Tabela24" ref="B12:I21" totalsRowShown="0" headerRowDxfId="89" dataDxfId="88" headerRowBorderDxfId="86" tableBorderDxfId="87" totalsRowBorderDxfId="85">
  <autoFilter ref="B12:I21" xr:uid="{816D410F-0DFD-4FA5-B8F0-769441EF6A98}"/>
  <tableColumns count="8">
    <tableColumn id="1" xr3:uid="{0B18FBFA-B2CA-47BD-ADBB-8A493B614B22}" name="PF 150G" dataDxfId="84"/>
    <tableColumn id="2" xr3:uid="{B6FD05A3-F8BD-4FEA-B825-BDF7084532AE}" name="Material" dataDxfId="83"/>
    <tableColumn id="3" xr3:uid="{00ED8BC5-8772-4B24-B1B3-D9FDCBDBBBDB}" name="Nome Material" dataDxfId="82"/>
    <tableColumn id="4" xr3:uid="{ECF074F8-317F-400D-99C2-D3E66B20D321}" name="peso atual" dataDxfId="81">
      <calculatedColumnFormula>VALUE(SUMIFS(Tabela4[Estoque disponível],Tabela4[Material],'Ressuprimento 1'!C13))</calculatedColumnFormula>
    </tableColumn>
    <tableColumn id="5" xr3:uid="{F76D4B6D-31B2-4682-AC0C-4A1C82FE0127}" name="Peso Min" dataDxfId="80"/>
    <tableColumn id="7" xr3:uid="{3C18C083-FBC1-405F-AE03-28E4772E3FA5}" name="Prox/Atual" dataDxfId="79"/>
    <tableColumn id="8" xr3:uid="{B614632F-804A-4112-ADE1-A0258A977631}" name="Lote" dataDxfId="56"/>
    <tableColumn id="6" xr3:uid="{04CE9EAA-C04D-427F-98B5-728185829899}" name="Saldo PES" dataDxfId="40">
      <calculatedColumnFormula>SUMIFS(Tabela1[Estoque disponível],Tabela1[Posição no depósito],Tabela24[[#This Row],[Prox/Atual]],Tabela1[Lote],Tabela24[[#This Row],[Lote]])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9B5A56-0EEB-48A2-8D3F-0777F33D4CEF}" name="Tabela57" displayName="Tabela57" ref="B34:I51" totalsRowShown="0" headerRowDxfId="55" dataDxfId="54" headerRowBorderDxfId="52" tableBorderDxfId="53" totalsRowBorderDxfId="51">
  <autoFilter ref="B34:I51" xr:uid="{F956DFD6-F042-4795-A1AF-AB1F520CB142}"/>
  <tableColumns count="8">
    <tableColumn id="1" xr3:uid="{3C8D9BA2-72A5-4112-B99C-CE99B5285277}" name="SOFT 360" dataDxfId="50"/>
    <tableColumn id="2" xr3:uid="{2A9D94BA-6E86-4803-99B6-A39F96D6E92B}" name="Material" dataDxfId="49"/>
    <tableColumn id="3" xr3:uid="{DFD63DB5-D48B-4BF7-A022-24AB84FA55A3}" name="Nome Material" dataDxfId="48"/>
    <tableColumn id="4" xr3:uid="{0AD566BA-9858-41BF-9585-72105A02B207}" name="peso atual" dataDxfId="47">
      <calculatedColumnFormula>VALUE(SUMIFS(Tabela4[Estoque disponível],Tabela4[Material],'Ressuprimento 1'!C35))</calculatedColumnFormula>
    </tableColumn>
    <tableColumn id="5" xr3:uid="{27927CA6-E5B0-46A0-B24F-355033CCFC6F}" name="Peso Min" dataDxfId="46"/>
    <tableColumn id="6" xr3:uid="{996B48B1-611C-4276-A42E-8C7E81ABE62A}" name="Prox/Atual" dataDxfId="45"/>
    <tableColumn id="7" xr3:uid="{1ADCF0D1-D52C-44F2-9936-0E94ABF53B79}" name="Lote" dataDxfId="44"/>
    <tableColumn id="8" xr3:uid="{F7874CFA-144B-4FF2-9D11-B86099961D70}" name="Saldo PES" dataDxfId="43">
      <calculatedColumnFormula>SUMIFS(Tabela1[Estoque disponível],Tabela1[Posição no depósito],Tabela2[[#This Row],[Prox/Atual]],Tabela1[Lote],Tabela2[[#This Row],[Lote]])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ABC3D4-CC58-4800-A1CA-2E6E0210F719}" name="Tabela7" displayName="Tabela7" ref="B53:I63" totalsRowShown="0" headerRowDxfId="150" dataDxfId="148" headerRowBorderDxfId="149" tableBorderDxfId="147" totalsRowBorderDxfId="146">
  <autoFilter ref="B53:I63" xr:uid="{4366A236-28A0-4AC2-8B62-C69533FD3EA7}"/>
  <tableColumns count="8">
    <tableColumn id="1" xr3:uid="{3E9A1C0F-8525-47C3-9D25-CA781336A626}" name="SOFT 900g" dataDxfId="145"/>
    <tableColumn id="2" xr3:uid="{58D1CE61-AE8C-4604-8048-4888A56BD61B}" name="Material" dataDxfId="144"/>
    <tableColumn id="3" xr3:uid="{623A0C48-2D08-4E6F-8139-B416409F1F19}" name="Nome Material" dataDxfId="143"/>
    <tableColumn id="4" xr3:uid="{4811BFBE-39D2-40F3-B51F-D92AFBB505A5}" name="peso atual" dataDxfId="142">
      <calculatedColumnFormula>VALUE(SUMIFS(Tabela4[Estoque disponível],Tabela4[Material],'Ressuprimento 1'!C54))</calculatedColumnFormula>
    </tableColumn>
    <tableColumn id="5" xr3:uid="{969B4BB7-2AFE-4DCE-87F6-794B41608531}" name="Peso Min" dataDxfId="141"/>
    <tableColumn id="6" xr3:uid="{7D61EED0-1434-4A63-9A91-73F34356F5D9}" name="Prox/Atual" dataDxfId="140"/>
    <tableColumn id="7" xr3:uid="{38F9CE72-3E6C-4E8A-9B44-76CF06882A58}" name="Lote" dataDxfId="139"/>
    <tableColumn id="8" xr3:uid="{F96B6E19-E90E-4AC4-8F30-2075AD1EFBC6}" name="Saldo PES" dataDxfId="42">
      <calculatedColumnFormula>SUMIFS(Tabela1[Estoque disponível],Tabela1[Posição no depósito],Tabela2[[#This Row],[Prox/Atual]],Tabela1[Lote],Tabela2[[#This Row],[Lote]])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BAB226-80E7-4944-9099-CCF3A0B4BD7E}" name="Tabela511" displayName="Tabela511" ref="B65:I84" totalsRowShown="0" headerRowDxfId="138" dataDxfId="136" headerRowBorderDxfId="137" tableBorderDxfId="135" totalsRowBorderDxfId="134">
  <autoFilter ref="B65:I84" xr:uid="{1FEBDC04-A374-4F36-A5AB-E4D3BEC09ADA}"/>
  <tableColumns count="8">
    <tableColumn id="1" xr3:uid="{598A1417-3BD4-45F4-84A1-C518A74FFC86}" name="LIQUIDOS" dataDxfId="133"/>
    <tableColumn id="2" xr3:uid="{BDE96F6E-C903-455D-BCBF-4E66FD314FC6}" name="Material" dataDxfId="132"/>
    <tableColumn id="3" xr3:uid="{934A0DF2-A4CB-47A8-B1AB-C0F365E2E716}" name="Nome Material" dataDxfId="131"/>
    <tableColumn id="4" xr3:uid="{F6BCB534-0BD2-4827-845E-F927C4FEEB1A}" name="peso atual" dataDxfId="130">
      <calculatedColumnFormula>VALUE(SUMIFS(Tabela4[Estoque disponível],Tabela4[Material],'Ressuprimento 1'!C66))</calculatedColumnFormula>
    </tableColumn>
    <tableColumn id="5" xr3:uid="{6CD4ADEA-A6DE-45B8-9C9A-C0F05E163C8B}" name="Peso Min" dataDxfId="129"/>
    <tableColumn id="6" xr3:uid="{A8129FD6-9712-40AE-BA64-16D767364EB8}" name="Prox/Atual" dataDxfId="128"/>
    <tableColumn id="7" xr3:uid="{E5CD76EE-78D8-4FB0-BC29-A56537ECCFDB}" name="Lote" dataDxfId="127"/>
    <tableColumn id="8" xr3:uid="{8130ED10-A0C1-40FA-B4F0-7255F8A728D8}" name="Saldo PES" dataDxfId="41">
      <calculatedColumnFormula>SUMIFS(Tabela1[Estoque disponível],Tabela1[Posição no depósito],Tabela2[[#This Row],[Prox/Atual]],Tabela1[Lote],Tabela2[[#This Row],[Lote]])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32FC75-90B0-4FAE-A792-EA8DE46CD631}" name="Tabela11" displayName="Tabela11" ref="B23:I32" totalsRowShown="0" headerRowDxfId="78" headerRowBorderDxfId="76" tableBorderDxfId="77" totalsRowBorderDxfId="75">
  <autoFilter ref="B23:I32" xr:uid="{3CCB77D4-D85D-4072-BDD7-BAEBBA4A3852}"/>
  <tableColumns count="8">
    <tableColumn id="1" xr3:uid="{28A4D62C-49C5-4EDA-BFA9-FFD68D603658}" name="Vaga PH 150G" dataDxfId="74"/>
    <tableColumn id="2" xr3:uid="{3A4F7F93-E1C2-4ED5-BF79-9F84DD1D8470}" name="Material" dataDxfId="73"/>
    <tableColumn id="3" xr3:uid="{33D7402E-451C-4156-B037-7AA8894D67E0}" name="Nome Material" dataDxfId="72"/>
    <tableColumn id="4" xr3:uid="{4E91731B-7F90-499B-898D-8BF296375008}" name="peso atual" dataDxfId="71">
      <calculatedColumnFormula>VALUE(SUMIFS(Tabela4[Estoque disponível],Tabela4[Material],'Ressuprimento 1'!C24))</calculatedColumnFormula>
    </tableColumn>
    <tableColumn id="5" xr3:uid="{C4E89CA3-D4AA-43B0-84CB-71B6C55C20B1}" name="Peso Min" dataDxfId="70"/>
    <tableColumn id="6" xr3:uid="{2AFDD336-7153-4DDE-B84A-4E643D76E115}" name="Prox/Atual" dataDxfId="69"/>
    <tableColumn id="7" xr3:uid="{901C16F5-1ECA-435A-9180-3B7F3F39C449}" name="Lote" dataDxfId="68"/>
    <tableColumn id="8" xr3:uid="{3B5DDEC6-225A-4898-9388-D3852E8C7F2E}" name="Saldo PES" dataDxfId="57">
      <calculatedColumnFormula>SUMIFS(Tabela1[Estoque disponível],Tabela1[Posição no depósito],Tabela2[[#This Row],[Prox/Atual]],Tabela1[Lote],Tabela2[[#This Row],[Lote]])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03EDF1-1A26-4399-8D85-C8A524A42ECB}" name="Tabela29" displayName="Tabela29" ref="B2:H19" totalsRowShown="0" headerRowDxfId="126" dataDxfId="124" headerRowBorderDxfId="125" tableBorderDxfId="123" totalsRowBorderDxfId="122">
  <autoFilter ref="B2:H19" xr:uid="{448D9D44-CDAD-486F-AE08-C1363CA740E6}"/>
  <tableColumns count="7">
    <tableColumn id="1" xr3:uid="{F65CF100-A8B9-4B37-BA3B-D923EBDD2498}" name="AROMAS" dataDxfId="121"/>
    <tableColumn id="2" xr3:uid="{A8C12778-649D-4D1B-9D8C-2C9AB4F0CBB6}" name="Material" dataDxfId="120"/>
    <tableColumn id="3" xr3:uid="{4BA7D365-A301-40A0-A8C4-9F77E20CD2C7}" name="Nome Material" dataDxfId="119"/>
    <tableColumn id="4" xr3:uid="{03437DC4-2486-4C50-884F-56DDD9C6EF46}" name="Saldo PIK" dataDxfId="118">
      <calculatedColumnFormula>SUMIFS(Tabela4[Estoque disponível],Tabela4[Material],Tabela29[[#This Row],[Material]])</calculatedColumnFormula>
    </tableColumn>
    <tableColumn id="5" xr3:uid="{12FDAC1C-D315-405D-959B-3A1709C399FC}" name="Peso Min" dataDxfId="117"/>
    <tableColumn id="7" xr3:uid="{11B2C5EA-A2B8-4427-B159-510C24B84E42}" name="Prox/Atual" dataDxfId="116"/>
    <tableColumn id="8" xr3:uid="{8DEE4C93-C410-4DBE-9D2D-4353625F803E}" name="Lote" dataDxfId="115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C2D19A-ABAA-400B-B873-D1358680348F}" name="Tabela9" displayName="Tabela9" ref="B21:H36" totalsRowShown="0" headerRowDxfId="114" dataDxfId="112" headerRowBorderDxfId="113" tableBorderDxfId="111" totalsRowBorderDxfId="110">
  <autoFilter ref="B21:H36" xr:uid="{0F14D06A-4EC4-4A4D-94CC-B36D299CD85A}"/>
  <tableColumns count="7">
    <tableColumn id="1" xr3:uid="{3E0B7CDC-1E0D-4FEB-A62D-238BF3D00BB4}" name="CLASSIC" dataDxfId="109"/>
    <tableColumn id="2" xr3:uid="{8C148A4B-FEEE-4C5D-A988-5FD928FA1A81}" name="Material" dataDxfId="108"/>
    <tableColumn id="3" xr3:uid="{3C4380E1-398F-4ECA-82F1-C4BFDFD538B1}" name="Nome Material" dataDxfId="107"/>
    <tableColumn id="4" xr3:uid="{77BF807F-9A42-4BCE-8DAC-7BD16F1A5850}" name="Saldo PIK" dataDxfId="106">
      <calculatedColumnFormula>SUMIFS(Tabela4[Estoque disponível],Tabela4[Material],Tabela9[[#This Row],[Material]])</calculatedColumnFormula>
    </tableColumn>
    <tableColumn id="5" xr3:uid="{E49FA413-026B-4EFB-B29A-D361F2AB76A3}" name="Peso Min" dataDxfId="105"/>
    <tableColumn id="6" xr3:uid="{6A79A163-6BF2-40EB-BC10-213676755A99}" name="Prox/Atual" dataDxfId="104"/>
    <tableColumn id="7" xr3:uid="{ACA83D3D-2932-43DC-A0A2-C01947D5A4D2}" name="Lote" dataDxfId="103"/>
  </tableColumns>
  <tableStyleInfo name="TableStyleMedium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28F3F1-5C5D-4D3F-B33F-8E232091B87D}" name="Tabela96" displayName="Tabela96" ref="B38:H47" totalsRowShown="0" headerRowDxfId="102" dataDxfId="100" headerRowBorderDxfId="101" tableBorderDxfId="99" totalsRowBorderDxfId="98">
  <autoFilter ref="B38:H47" xr:uid="{F74C5955-ED5D-470C-9DC0-DCA41C3A97F8}"/>
  <tableColumns count="7">
    <tableColumn id="1" xr3:uid="{CD0F6747-E7B0-49E8-BC6C-4DD36669F2AE}" name="TINT" dataDxfId="97"/>
    <tableColumn id="2" xr3:uid="{8A49EFE3-B5A9-4A74-A683-F9920232435E}" name="Material" dataDxfId="96"/>
    <tableColumn id="3" xr3:uid="{0A302B65-69C9-4914-81A0-1D4E4DE7DB82}" name="Nome Material" dataDxfId="95"/>
    <tableColumn id="4" xr3:uid="{E75960D6-E83B-4353-BCC8-1E9057C998B0}" name="Saldo PIK" dataDxfId="94">
      <calculatedColumnFormula>SUMIFS(Tabela4[Estoque disponível],Tabela4[Material],Tabela96[[#This Row],[Material]])</calculatedColumnFormula>
    </tableColumn>
    <tableColumn id="5" xr3:uid="{E91B2700-DCCE-49FF-A270-0DB53CED706B}" name="Peso Min" dataDxfId="93"/>
    <tableColumn id="6" xr3:uid="{C774C673-AA8F-43C5-9342-FBD3384006EF}" name="Prox/Atual" dataDxfId="92"/>
    <tableColumn id="7" xr3:uid="{DDDA8229-FE9D-425F-AE3F-59AA7A92D380}" name="Lote" dataDxfId="91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2322-3747-425C-9C78-51963E223B55}">
  <dimension ref="A1:O397"/>
  <sheetViews>
    <sheetView tabSelected="1" zoomScale="77" zoomScaleNormal="77" workbookViewId="0">
      <selection activeCell="H22" sqref="H22"/>
    </sheetView>
  </sheetViews>
  <sheetFormatPr defaultRowHeight="15" x14ac:dyDescent="0.25"/>
  <cols>
    <col min="1" max="1" width="22.85546875" bestFit="1" customWidth="1"/>
    <col min="3" max="3" width="11.5703125" bestFit="1" customWidth="1"/>
    <col min="4" max="4" width="18" bestFit="1" customWidth="1"/>
    <col min="5" max="5" width="18" customWidth="1"/>
    <col min="6" max="6" width="18.28515625" bestFit="1" customWidth="1"/>
    <col min="7" max="7" width="17.85546875" customWidth="1"/>
    <col min="8" max="8" width="44" bestFit="1" customWidth="1"/>
    <col min="9" max="9" width="18.42578125" bestFit="1" customWidth="1"/>
    <col min="10" max="10" width="20.85546875" customWidth="1"/>
    <col min="11" max="11" width="20.5703125" bestFit="1" customWidth="1"/>
    <col min="13" max="13" width="32.28515625" bestFit="1" customWidth="1"/>
    <col min="14" max="14" width="21.42578125" bestFit="1" customWidth="1"/>
  </cols>
  <sheetData>
    <row r="1" spans="1:15" x14ac:dyDescent="0.25">
      <c r="A1" s="14" t="s">
        <v>1143</v>
      </c>
    </row>
    <row r="3" spans="1:15" x14ac:dyDescent="0.25">
      <c r="A3" s="86" t="s">
        <v>58</v>
      </c>
      <c r="B3" s="86" t="s">
        <v>59</v>
      </c>
      <c r="C3" s="86" t="s">
        <v>60</v>
      </c>
      <c r="D3" s="86" t="s">
        <v>1144</v>
      </c>
      <c r="E3" s="86" t="s">
        <v>28</v>
      </c>
      <c r="F3" s="86" t="s">
        <v>61</v>
      </c>
      <c r="G3" s="86" t="s">
        <v>1145</v>
      </c>
      <c r="H3" s="86" t="s">
        <v>62</v>
      </c>
      <c r="I3" s="86" t="s">
        <v>63</v>
      </c>
      <c r="J3" s="86" t="s">
        <v>64</v>
      </c>
      <c r="K3" s="86" t="s">
        <v>65</v>
      </c>
      <c r="L3" s="86" t="s">
        <v>66</v>
      </c>
      <c r="M3" s="86" t="s">
        <v>67</v>
      </c>
      <c r="N3" s="86" t="s">
        <v>826</v>
      </c>
      <c r="O3" s="86" t="s">
        <v>827</v>
      </c>
    </row>
    <row r="4" spans="1:15" x14ac:dyDescent="0.25">
      <c r="A4" s="17" t="s">
        <v>75</v>
      </c>
      <c r="B4" s="17" t="s">
        <v>69</v>
      </c>
      <c r="C4" s="17" t="s">
        <v>70</v>
      </c>
      <c r="D4" s="17"/>
      <c r="E4" s="17" t="s">
        <v>76</v>
      </c>
      <c r="F4" s="17"/>
      <c r="G4" s="17"/>
      <c r="H4" s="17" t="s">
        <v>77</v>
      </c>
      <c r="I4" s="17" t="s">
        <v>73</v>
      </c>
      <c r="J4" s="17" t="s">
        <v>78</v>
      </c>
      <c r="K4" s="18">
        <v>0.12</v>
      </c>
      <c r="L4" s="17" t="s">
        <v>74</v>
      </c>
      <c r="M4" s="19">
        <v>45838</v>
      </c>
      <c r="N4" s="19">
        <v>46855</v>
      </c>
      <c r="O4" s="17" t="s">
        <v>830</v>
      </c>
    </row>
    <row r="5" spans="1:15" x14ac:dyDescent="0.25">
      <c r="A5" s="17" t="s">
        <v>173</v>
      </c>
      <c r="B5" s="17" t="s">
        <v>69</v>
      </c>
      <c r="C5" s="17" t="s">
        <v>70</v>
      </c>
      <c r="D5" s="17" t="s">
        <v>1146</v>
      </c>
      <c r="E5" s="17" t="s">
        <v>174</v>
      </c>
      <c r="F5" s="17"/>
      <c r="G5" s="17"/>
      <c r="H5" s="17" t="s">
        <v>175</v>
      </c>
      <c r="I5" s="17" t="s">
        <v>73</v>
      </c>
      <c r="J5" s="17" t="s">
        <v>78</v>
      </c>
      <c r="K5" s="18">
        <v>1.08</v>
      </c>
      <c r="L5" s="17" t="s">
        <v>74</v>
      </c>
      <c r="M5" s="19">
        <v>45884</v>
      </c>
      <c r="N5" s="19">
        <v>46150</v>
      </c>
      <c r="O5" s="17" t="s">
        <v>830</v>
      </c>
    </row>
    <row r="6" spans="1:15" x14ac:dyDescent="0.25">
      <c r="A6" s="17" t="s">
        <v>282</v>
      </c>
      <c r="B6" s="17" t="s">
        <v>69</v>
      </c>
      <c r="C6" s="17" t="s">
        <v>70</v>
      </c>
      <c r="D6" s="17"/>
      <c r="E6" s="17" t="s">
        <v>1212</v>
      </c>
      <c r="F6" s="17"/>
      <c r="G6" s="17"/>
      <c r="H6" s="17" t="s">
        <v>284</v>
      </c>
      <c r="I6" s="17" t="s">
        <v>73</v>
      </c>
      <c r="J6" s="17" t="s">
        <v>78</v>
      </c>
      <c r="K6" s="18">
        <v>1.65</v>
      </c>
      <c r="L6" s="17" t="s">
        <v>74</v>
      </c>
      <c r="M6" s="19">
        <v>45772</v>
      </c>
      <c r="N6" s="19">
        <v>46483</v>
      </c>
      <c r="O6" s="17" t="s">
        <v>830</v>
      </c>
    </row>
    <row r="7" spans="1:15" x14ac:dyDescent="0.25">
      <c r="A7" s="17" t="s">
        <v>297</v>
      </c>
      <c r="B7" s="17" t="s">
        <v>69</v>
      </c>
      <c r="C7" s="17" t="s">
        <v>70</v>
      </c>
      <c r="D7" s="17"/>
      <c r="E7" s="17" t="s">
        <v>300</v>
      </c>
      <c r="F7" s="17"/>
      <c r="G7" s="17"/>
      <c r="H7" s="17" t="s">
        <v>299</v>
      </c>
      <c r="I7" s="17" t="s">
        <v>73</v>
      </c>
      <c r="J7" s="17" t="s">
        <v>78</v>
      </c>
      <c r="K7" s="18">
        <v>0.15</v>
      </c>
      <c r="L7" s="17" t="s">
        <v>74</v>
      </c>
      <c r="M7" s="19">
        <v>45985</v>
      </c>
      <c r="N7" s="19">
        <v>46694</v>
      </c>
      <c r="O7" s="17" t="s">
        <v>830</v>
      </c>
    </row>
    <row r="8" spans="1:15" x14ac:dyDescent="0.25">
      <c r="A8" s="17" t="s">
        <v>22</v>
      </c>
      <c r="B8" s="17" t="s">
        <v>69</v>
      </c>
      <c r="C8" s="17" t="s">
        <v>70</v>
      </c>
      <c r="D8" s="17"/>
      <c r="E8" s="17" t="s">
        <v>340</v>
      </c>
      <c r="F8" s="17"/>
      <c r="G8" s="17"/>
      <c r="H8" s="17" t="s">
        <v>23</v>
      </c>
      <c r="I8" s="17" t="s">
        <v>73</v>
      </c>
      <c r="J8" s="17" t="s">
        <v>78</v>
      </c>
      <c r="K8" s="18">
        <v>1.35</v>
      </c>
      <c r="L8" s="17" t="s">
        <v>74</v>
      </c>
      <c r="M8" s="19">
        <v>45993</v>
      </c>
      <c r="N8" s="19">
        <v>46705</v>
      </c>
      <c r="O8" s="17" t="s">
        <v>830</v>
      </c>
    </row>
    <row r="9" spans="1:15" x14ac:dyDescent="0.25">
      <c r="A9" s="17" t="s">
        <v>45</v>
      </c>
      <c r="B9" s="17" t="s">
        <v>69</v>
      </c>
      <c r="C9" s="17" t="s">
        <v>70</v>
      </c>
      <c r="D9" s="17"/>
      <c r="E9" s="17" t="s">
        <v>391</v>
      </c>
      <c r="F9" s="17"/>
      <c r="G9" s="17"/>
      <c r="H9" s="17" t="s">
        <v>47</v>
      </c>
      <c r="I9" s="17" t="s">
        <v>73</v>
      </c>
      <c r="J9" s="17" t="s">
        <v>78</v>
      </c>
      <c r="K9" s="18">
        <v>0.3</v>
      </c>
      <c r="L9" s="17" t="s">
        <v>74</v>
      </c>
      <c r="M9" s="19">
        <v>45979</v>
      </c>
      <c r="N9" s="19">
        <v>46691</v>
      </c>
      <c r="O9" s="17" t="s">
        <v>830</v>
      </c>
    </row>
    <row r="10" spans="1:15" x14ac:dyDescent="0.25">
      <c r="A10" s="17" t="s">
        <v>10</v>
      </c>
      <c r="B10" s="17" t="s">
        <v>69</v>
      </c>
      <c r="C10" s="17" t="s">
        <v>70</v>
      </c>
      <c r="D10" s="17"/>
      <c r="E10" s="17" t="s">
        <v>407</v>
      </c>
      <c r="F10" s="17"/>
      <c r="G10" s="17"/>
      <c r="H10" s="17" t="s">
        <v>11</v>
      </c>
      <c r="I10" s="17" t="s">
        <v>73</v>
      </c>
      <c r="J10" s="17" t="s">
        <v>78</v>
      </c>
      <c r="K10" s="18">
        <v>3.6</v>
      </c>
      <c r="L10" s="17" t="s">
        <v>74</v>
      </c>
      <c r="M10" s="19">
        <v>45978</v>
      </c>
      <c r="N10" s="19">
        <v>46686</v>
      </c>
      <c r="O10" s="17" t="s">
        <v>830</v>
      </c>
    </row>
    <row r="11" spans="1:15" x14ac:dyDescent="0.25">
      <c r="A11" s="17" t="s">
        <v>10</v>
      </c>
      <c r="B11" s="17" t="s">
        <v>69</v>
      </c>
      <c r="C11" s="17" t="s">
        <v>70</v>
      </c>
      <c r="D11" s="17"/>
      <c r="E11" s="17" t="s">
        <v>408</v>
      </c>
      <c r="F11" s="17"/>
      <c r="G11" s="17"/>
      <c r="H11" s="17" t="s">
        <v>11</v>
      </c>
      <c r="I11" s="17" t="s">
        <v>73</v>
      </c>
      <c r="J11" s="17" t="s">
        <v>78</v>
      </c>
      <c r="K11" s="18">
        <v>0.45</v>
      </c>
      <c r="L11" s="17" t="s">
        <v>74</v>
      </c>
      <c r="M11" s="19">
        <v>45992</v>
      </c>
      <c r="N11" s="19">
        <v>46705</v>
      </c>
      <c r="O11" s="17" t="s">
        <v>830</v>
      </c>
    </row>
    <row r="12" spans="1:15" x14ac:dyDescent="0.25">
      <c r="A12" s="17" t="s">
        <v>10</v>
      </c>
      <c r="B12" s="17" t="s">
        <v>69</v>
      </c>
      <c r="C12" s="17" t="s">
        <v>70</v>
      </c>
      <c r="D12" s="17"/>
      <c r="E12" s="17" t="s">
        <v>405</v>
      </c>
      <c r="F12" s="17"/>
      <c r="G12" s="17"/>
      <c r="H12" s="17" t="s">
        <v>11</v>
      </c>
      <c r="I12" s="17" t="s">
        <v>73</v>
      </c>
      <c r="J12" s="17" t="s">
        <v>78</v>
      </c>
      <c r="K12" s="18">
        <v>0.15</v>
      </c>
      <c r="L12" s="17" t="s">
        <v>74</v>
      </c>
      <c r="M12" s="19">
        <v>45996</v>
      </c>
      <c r="N12" s="19">
        <v>46673</v>
      </c>
      <c r="O12" s="17" t="s">
        <v>830</v>
      </c>
    </row>
    <row r="13" spans="1:15" x14ac:dyDescent="0.25">
      <c r="A13" s="17" t="s">
        <v>36</v>
      </c>
      <c r="B13" s="17" t="s">
        <v>69</v>
      </c>
      <c r="C13" s="17" t="s">
        <v>70</v>
      </c>
      <c r="D13" s="17"/>
      <c r="E13" s="17" t="s">
        <v>433</v>
      </c>
      <c r="F13" s="17"/>
      <c r="G13" s="17"/>
      <c r="H13" s="17" t="s">
        <v>38</v>
      </c>
      <c r="I13" s="17" t="s">
        <v>73</v>
      </c>
      <c r="J13" s="17" t="s">
        <v>78</v>
      </c>
      <c r="K13" s="18">
        <v>0.15</v>
      </c>
      <c r="L13" s="17" t="s">
        <v>74</v>
      </c>
      <c r="M13" s="19">
        <v>45987</v>
      </c>
      <c r="N13" s="19">
        <v>46699</v>
      </c>
      <c r="O13" s="17" t="s">
        <v>830</v>
      </c>
    </row>
    <row r="14" spans="1:15" x14ac:dyDescent="0.25">
      <c r="A14" s="17" t="s">
        <v>451</v>
      </c>
      <c r="B14" s="17" t="s">
        <v>69</v>
      </c>
      <c r="C14" s="17" t="s">
        <v>70</v>
      </c>
      <c r="D14" s="17"/>
      <c r="E14" s="17" t="s">
        <v>456</v>
      </c>
      <c r="F14" s="17"/>
      <c r="G14" s="17"/>
      <c r="H14" s="17" t="s">
        <v>453</v>
      </c>
      <c r="I14" s="17" t="s">
        <v>73</v>
      </c>
      <c r="J14" s="17" t="s">
        <v>78</v>
      </c>
      <c r="K14" s="18">
        <v>0.15</v>
      </c>
      <c r="L14" s="17" t="s">
        <v>74</v>
      </c>
      <c r="M14" s="19">
        <v>45975</v>
      </c>
      <c r="N14" s="19">
        <v>46667</v>
      </c>
      <c r="O14" s="17" t="s">
        <v>830</v>
      </c>
    </row>
    <row r="15" spans="1:15" x14ac:dyDescent="0.25">
      <c r="A15" s="17" t="s">
        <v>486</v>
      </c>
      <c r="B15" s="17" t="s">
        <v>69</v>
      </c>
      <c r="C15" s="17" t="s">
        <v>70</v>
      </c>
      <c r="D15" s="17"/>
      <c r="E15" s="17" t="s">
        <v>490</v>
      </c>
      <c r="F15" s="17"/>
      <c r="G15" s="17"/>
      <c r="H15" s="17" t="s">
        <v>488</v>
      </c>
      <c r="I15" s="17" t="s">
        <v>73</v>
      </c>
      <c r="J15" s="17" t="s">
        <v>78</v>
      </c>
      <c r="K15" s="18">
        <v>1.2</v>
      </c>
      <c r="L15" s="17" t="s">
        <v>74</v>
      </c>
      <c r="M15" s="19">
        <v>45941</v>
      </c>
      <c r="N15" s="19">
        <v>46657</v>
      </c>
      <c r="O15" s="17" t="s">
        <v>830</v>
      </c>
    </row>
    <row r="16" spans="1:15" x14ac:dyDescent="0.25">
      <c r="A16" s="17" t="s">
        <v>13</v>
      </c>
      <c r="B16" s="17" t="s">
        <v>69</v>
      </c>
      <c r="C16" s="17" t="s">
        <v>70</v>
      </c>
      <c r="D16" s="17"/>
      <c r="E16" s="17" t="s">
        <v>501</v>
      </c>
      <c r="F16" s="17"/>
      <c r="G16" s="17"/>
      <c r="H16" s="17" t="s">
        <v>15</v>
      </c>
      <c r="I16" s="17" t="s">
        <v>73</v>
      </c>
      <c r="J16" s="17" t="s">
        <v>78</v>
      </c>
      <c r="K16" s="18">
        <v>0.15</v>
      </c>
      <c r="L16" s="17" t="s">
        <v>74</v>
      </c>
      <c r="M16" s="19">
        <v>45996</v>
      </c>
      <c r="N16" s="19">
        <v>46681</v>
      </c>
      <c r="O16" s="17" t="s">
        <v>830</v>
      </c>
    </row>
    <row r="17" spans="1:15" x14ac:dyDescent="0.25">
      <c r="A17" s="17" t="s">
        <v>13</v>
      </c>
      <c r="B17" s="17" t="s">
        <v>69</v>
      </c>
      <c r="C17" s="17" t="s">
        <v>70</v>
      </c>
      <c r="D17" s="17"/>
      <c r="E17" s="17" t="s">
        <v>502</v>
      </c>
      <c r="F17" s="17"/>
      <c r="G17" s="17"/>
      <c r="H17" s="17" t="s">
        <v>15</v>
      </c>
      <c r="I17" s="17" t="s">
        <v>73</v>
      </c>
      <c r="J17" s="17" t="s">
        <v>78</v>
      </c>
      <c r="K17" s="18">
        <v>0.45</v>
      </c>
      <c r="L17" s="17" t="s">
        <v>74</v>
      </c>
      <c r="M17" s="19">
        <v>45981</v>
      </c>
      <c r="N17" s="19">
        <v>46691</v>
      </c>
      <c r="O17" s="17" t="s">
        <v>830</v>
      </c>
    </row>
    <row r="18" spans="1:15" x14ac:dyDescent="0.25">
      <c r="A18" s="17" t="s">
        <v>31</v>
      </c>
      <c r="B18" s="17" t="s">
        <v>69</v>
      </c>
      <c r="C18" s="17" t="s">
        <v>70</v>
      </c>
      <c r="D18" s="17"/>
      <c r="E18" s="17" t="s">
        <v>542</v>
      </c>
      <c r="F18" s="17"/>
      <c r="G18" s="17"/>
      <c r="H18" s="17" t="s">
        <v>32</v>
      </c>
      <c r="I18" s="17" t="s">
        <v>73</v>
      </c>
      <c r="J18" s="17" t="s">
        <v>78</v>
      </c>
      <c r="K18" s="18">
        <v>0.9</v>
      </c>
      <c r="L18" s="17" t="s">
        <v>74</v>
      </c>
      <c r="M18" s="19">
        <v>46008</v>
      </c>
      <c r="N18" s="19">
        <v>46631</v>
      </c>
      <c r="O18" s="17" t="s">
        <v>830</v>
      </c>
    </row>
    <row r="19" spans="1:15" x14ac:dyDescent="0.25">
      <c r="A19" s="17" t="s">
        <v>31</v>
      </c>
      <c r="B19" s="17" t="s">
        <v>69</v>
      </c>
      <c r="C19" s="17" t="s">
        <v>70</v>
      </c>
      <c r="D19" s="17"/>
      <c r="E19" s="17" t="s">
        <v>543</v>
      </c>
      <c r="F19" s="17"/>
      <c r="G19" s="17"/>
      <c r="H19" s="17" t="s">
        <v>32</v>
      </c>
      <c r="I19" s="17" t="s">
        <v>73</v>
      </c>
      <c r="J19" s="17" t="s">
        <v>78</v>
      </c>
      <c r="K19" s="18">
        <v>0.15</v>
      </c>
      <c r="L19" s="17" t="s">
        <v>74</v>
      </c>
      <c r="M19" s="19">
        <v>45987</v>
      </c>
      <c r="N19" s="19">
        <v>46694</v>
      </c>
      <c r="O19" s="17" t="s">
        <v>830</v>
      </c>
    </row>
    <row r="20" spans="1:15" x14ac:dyDescent="0.25">
      <c r="A20" s="17" t="s">
        <v>560</v>
      </c>
      <c r="B20" s="17" t="s">
        <v>69</v>
      </c>
      <c r="C20" s="17" t="s">
        <v>70</v>
      </c>
      <c r="D20" s="17"/>
      <c r="E20" s="17" t="s">
        <v>561</v>
      </c>
      <c r="F20" s="17"/>
      <c r="G20" s="17"/>
      <c r="H20" s="17" t="s">
        <v>562</v>
      </c>
      <c r="I20" s="17" t="s">
        <v>73</v>
      </c>
      <c r="J20" s="17" t="s">
        <v>78</v>
      </c>
      <c r="K20" s="18">
        <v>2.16</v>
      </c>
      <c r="L20" s="17" t="s">
        <v>74</v>
      </c>
      <c r="M20" s="19">
        <v>45926</v>
      </c>
      <c r="N20" s="19">
        <v>46637</v>
      </c>
      <c r="O20" s="17" t="s">
        <v>830</v>
      </c>
    </row>
    <row r="21" spans="1:15" x14ac:dyDescent="0.25">
      <c r="A21" s="17" t="s">
        <v>571</v>
      </c>
      <c r="B21" s="17" t="s">
        <v>69</v>
      </c>
      <c r="C21" s="17" t="s">
        <v>70</v>
      </c>
      <c r="D21" s="17"/>
      <c r="E21" s="17" t="s">
        <v>572</v>
      </c>
      <c r="F21" s="17"/>
      <c r="G21" s="17"/>
      <c r="H21" s="17" t="s">
        <v>573</v>
      </c>
      <c r="I21" s="17" t="s">
        <v>73</v>
      </c>
      <c r="J21" s="17" t="s">
        <v>78</v>
      </c>
      <c r="K21" s="18">
        <v>1.5</v>
      </c>
      <c r="L21" s="17" t="s">
        <v>74</v>
      </c>
      <c r="M21" s="19">
        <v>46000</v>
      </c>
      <c r="N21" s="19">
        <v>46707</v>
      </c>
      <c r="O21" s="17" t="s">
        <v>830</v>
      </c>
    </row>
    <row r="22" spans="1:15" x14ac:dyDescent="0.25">
      <c r="A22" s="17" t="s">
        <v>16</v>
      </c>
      <c r="B22" s="17" t="s">
        <v>69</v>
      </c>
      <c r="C22" s="17" t="s">
        <v>70</v>
      </c>
      <c r="D22" s="17"/>
      <c r="E22" s="17" t="s">
        <v>584</v>
      </c>
      <c r="F22" s="17"/>
      <c r="G22" s="17"/>
      <c r="H22" s="17" t="s">
        <v>17</v>
      </c>
      <c r="I22" s="17" t="s">
        <v>73</v>
      </c>
      <c r="J22" s="17" t="s">
        <v>78</v>
      </c>
      <c r="K22" s="18">
        <v>0.3</v>
      </c>
      <c r="L22" s="17" t="s">
        <v>74</v>
      </c>
      <c r="M22" s="19">
        <v>45803</v>
      </c>
      <c r="N22" s="19">
        <v>46513</v>
      </c>
      <c r="O22" s="17" t="s">
        <v>830</v>
      </c>
    </row>
    <row r="23" spans="1:15" x14ac:dyDescent="0.25">
      <c r="A23" s="17" t="s">
        <v>16</v>
      </c>
      <c r="B23" s="17" t="s">
        <v>69</v>
      </c>
      <c r="C23" s="17" t="s">
        <v>70</v>
      </c>
      <c r="D23" s="17"/>
      <c r="E23" s="17" t="s">
        <v>583</v>
      </c>
      <c r="F23" s="17"/>
      <c r="G23" s="17"/>
      <c r="H23" s="17" t="s">
        <v>17</v>
      </c>
      <c r="I23" s="17" t="s">
        <v>73</v>
      </c>
      <c r="J23" s="17" t="s">
        <v>78</v>
      </c>
      <c r="K23" s="18">
        <v>0.45</v>
      </c>
      <c r="L23" s="17" t="s">
        <v>74</v>
      </c>
      <c r="M23" s="19">
        <v>45993</v>
      </c>
      <c r="N23" s="19">
        <v>46705</v>
      </c>
      <c r="O23" s="17" t="s">
        <v>830</v>
      </c>
    </row>
    <row r="24" spans="1:15" x14ac:dyDescent="0.25">
      <c r="A24" s="17" t="s">
        <v>649</v>
      </c>
      <c r="B24" s="17" t="s">
        <v>69</v>
      </c>
      <c r="C24" s="17" t="s">
        <v>70</v>
      </c>
      <c r="D24" s="17"/>
      <c r="E24" s="17" t="s">
        <v>653</v>
      </c>
      <c r="F24" s="17"/>
      <c r="G24" s="17"/>
      <c r="H24" s="17" t="s">
        <v>651</v>
      </c>
      <c r="I24" s="17" t="s">
        <v>73</v>
      </c>
      <c r="J24" s="17" t="s">
        <v>78</v>
      </c>
      <c r="K24" s="18">
        <v>0.9</v>
      </c>
      <c r="L24" s="17" t="s">
        <v>74</v>
      </c>
      <c r="M24" s="19">
        <v>45832</v>
      </c>
      <c r="N24" s="19">
        <v>46533</v>
      </c>
      <c r="O24" s="17" t="s">
        <v>830</v>
      </c>
    </row>
    <row r="25" spans="1:15" x14ac:dyDescent="0.25">
      <c r="A25" s="17" t="s">
        <v>19</v>
      </c>
      <c r="B25" s="17" t="s">
        <v>69</v>
      </c>
      <c r="C25" s="17" t="s">
        <v>70</v>
      </c>
      <c r="D25" s="17"/>
      <c r="E25" s="17" t="s">
        <v>659</v>
      </c>
      <c r="F25" s="17"/>
      <c r="G25" s="17"/>
      <c r="H25" s="17" t="s">
        <v>20</v>
      </c>
      <c r="I25" s="17" t="s">
        <v>73</v>
      </c>
      <c r="J25" s="17" t="s">
        <v>78</v>
      </c>
      <c r="K25" s="18">
        <v>1.5</v>
      </c>
      <c r="L25" s="17" t="s">
        <v>74</v>
      </c>
      <c r="M25" s="19">
        <v>46008</v>
      </c>
      <c r="N25" s="19">
        <v>46618</v>
      </c>
      <c r="O25" s="17" t="s">
        <v>830</v>
      </c>
    </row>
    <row r="26" spans="1:15" x14ac:dyDescent="0.25">
      <c r="A26" s="17" t="s">
        <v>19</v>
      </c>
      <c r="B26" s="17" t="s">
        <v>69</v>
      </c>
      <c r="C26" s="17" t="s">
        <v>70</v>
      </c>
      <c r="D26" s="17"/>
      <c r="E26" s="17" t="s">
        <v>657</v>
      </c>
      <c r="F26" s="17"/>
      <c r="G26" s="17"/>
      <c r="H26" s="17" t="s">
        <v>20</v>
      </c>
      <c r="I26" s="17" t="s">
        <v>73</v>
      </c>
      <c r="J26" s="17" t="s">
        <v>78</v>
      </c>
      <c r="K26" s="18">
        <v>0.15</v>
      </c>
      <c r="L26" s="17" t="s">
        <v>74</v>
      </c>
      <c r="M26" s="19">
        <v>45986</v>
      </c>
      <c r="N26" s="19">
        <v>46686</v>
      </c>
      <c r="O26" s="17" t="s">
        <v>830</v>
      </c>
    </row>
    <row r="27" spans="1:15" x14ac:dyDescent="0.25">
      <c r="A27" s="17" t="s">
        <v>19</v>
      </c>
      <c r="B27" s="17" t="s">
        <v>69</v>
      </c>
      <c r="C27" s="17" t="s">
        <v>70</v>
      </c>
      <c r="D27" s="17"/>
      <c r="E27" s="17" t="s">
        <v>658</v>
      </c>
      <c r="F27" s="17"/>
      <c r="G27" s="17"/>
      <c r="H27" s="17" t="s">
        <v>20</v>
      </c>
      <c r="I27" s="17" t="s">
        <v>73</v>
      </c>
      <c r="J27" s="17" t="s">
        <v>78</v>
      </c>
      <c r="K27" s="18">
        <v>10.199999999999999</v>
      </c>
      <c r="L27" s="17" t="s">
        <v>74</v>
      </c>
      <c r="M27" s="19">
        <v>45999</v>
      </c>
      <c r="N27" s="19">
        <v>46694</v>
      </c>
      <c r="O27" s="17" t="s">
        <v>830</v>
      </c>
    </row>
    <row r="28" spans="1:15" x14ac:dyDescent="0.25">
      <c r="A28" s="17" t="s">
        <v>34</v>
      </c>
      <c r="B28" s="17" t="s">
        <v>69</v>
      </c>
      <c r="C28" s="17" t="s">
        <v>70</v>
      </c>
      <c r="D28" s="17"/>
      <c r="E28" s="17" t="s">
        <v>660</v>
      </c>
      <c r="F28" s="17"/>
      <c r="G28" s="17"/>
      <c r="H28" s="17" t="s">
        <v>35</v>
      </c>
      <c r="I28" s="17" t="s">
        <v>73</v>
      </c>
      <c r="J28" s="17" t="s">
        <v>78</v>
      </c>
      <c r="K28" s="18">
        <v>0.6</v>
      </c>
      <c r="L28" s="17" t="s">
        <v>74</v>
      </c>
      <c r="M28" s="19">
        <v>45981</v>
      </c>
      <c r="N28" s="19">
        <v>46694</v>
      </c>
      <c r="O28" s="17" t="s">
        <v>830</v>
      </c>
    </row>
    <row r="29" spans="1:15" x14ac:dyDescent="0.25">
      <c r="A29" s="17" t="s">
        <v>678</v>
      </c>
      <c r="B29" s="17" t="s">
        <v>69</v>
      </c>
      <c r="C29" s="17" t="s">
        <v>70</v>
      </c>
      <c r="D29" s="17"/>
      <c r="E29" s="17" t="s">
        <v>685</v>
      </c>
      <c r="F29" s="17"/>
      <c r="G29" s="17"/>
      <c r="H29" s="17" t="s">
        <v>680</v>
      </c>
      <c r="I29" s="17" t="s">
        <v>73</v>
      </c>
      <c r="J29" s="17" t="s">
        <v>78</v>
      </c>
      <c r="K29" s="18">
        <v>1.2</v>
      </c>
      <c r="L29" s="17" t="s">
        <v>74</v>
      </c>
      <c r="M29" s="19">
        <v>45972</v>
      </c>
      <c r="N29" s="19">
        <v>46681</v>
      </c>
      <c r="O29" s="17" t="s">
        <v>830</v>
      </c>
    </row>
    <row r="30" spans="1:15" x14ac:dyDescent="0.25">
      <c r="A30" s="17" t="s">
        <v>749</v>
      </c>
      <c r="B30" s="17" t="s">
        <v>69</v>
      </c>
      <c r="C30" s="17" t="s">
        <v>70</v>
      </c>
      <c r="D30" s="17" t="s">
        <v>1146</v>
      </c>
      <c r="E30" s="17" t="s">
        <v>750</v>
      </c>
      <c r="F30" s="17"/>
      <c r="G30" s="17"/>
      <c r="H30" s="17" t="s">
        <v>751</v>
      </c>
      <c r="I30" s="17" t="s">
        <v>73</v>
      </c>
      <c r="J30" s="17" t="s">
        <v>78</v>
      </c>
      <c r="K30" s="18">
        <v>0.33400000000000002</v>
      </c>
      <c r="L30" s="17" t="s">
        <v>74</v>
      </c>
      <c r="M30" s="19">
        <v>45728</v>
      </c>
      <c r="N30" s="19">
        <v>46082</v>
      </c>
      <c r="O30" s="17" t="s">
        <v>830</v>
      </c>
    </row>
    <row r="31" spans="1:15" x14ac:dyDescent="0.25">
      <c r="A31" s="17" t="s">
        <v>749</v>
      </c>
      <c r="B31" s="17" t="s">
        <v>69</v>
      </c>
      <c r="C31" s="17" t="s">
        <v>70</v>
      </c>
      <c r="D31" s="17" t="s">
        <v>1146</v>
      </c>
      <c r="E31" s="17" t="s">
        <v>753</v>
      </c>
      <c r="F31" s="17"/>
      <c r="G31" s="17"/>
      <c r="H31" s="17" t="s">
        <v>751</v>
      </c>
      <c r="I31" s="17" t="s">
        <v>73</v>
      </c>
      <c r="J31" s="17" t="s">
        <v>78</v>
      </c>
      <c r="K31" s="18">
        <v>8.0579999999999998</v>
      </c>
      <c r="L31" s="17" t="s">
        <v>74</v>
      </c>
      <c r="M31" s="19">
        <v>45746</v>
      </c>
      <c r="N31" s="19">
        <v>46101</v>
      </c>
      <c r="O31" s="17" t="s">
        <v>830</v>
      </c>
    </row>
    <row r="32" spans="1:15" x14ac:dyDescent="0.25">
      <c r="A32" s="17" t="s">
        <v>785</v>
      </c>
      <c r="B32" s="17" t="s">
        <v>69</v>
      </c>
      <c r="C32" s="17" t="s">
        <v>70</v>
      </c>
      <c r="D32" s="17" t="s">
        <v>1146</v>
      </c>
      <c r="E32" s="17" t="s">
        <v>786</v>
      </c>
      <c r="F32" s="17"/>
      <c r="G32" s="17"/>
      <c r="H32" s="17" t="s">
        <v>787</v>
      </c>
      <c r="I32" s="17" t="s">
        <v>73</v>
      </c>
      <c r="J32" s="17" t="s">
        <v>78</v>
      </c>
      <c r="K32" s="18">
        <v>0.81200000000000006</v>
      </c>
      <c r="L32" s="17" t="s">
        <v>74</v>
      </c>
      <c r="M32" s="19">
        <v>45746</v>
      </c>
      <c r="N32" s="19">
        <v>46101</v>
      </c>
      <c r="O32" s="17" t="s">
        <v>830</v>
      </c>
    </row>
    <row r="33" spans="1:15" x14ac:dyDescent="0.25">
      <c r="A33" s="17" t="s">
        <v>810</v>
      </c>
      <c r="B33" s="17" t="s">
        <v>69</v>
      </c>
      <c r="C33" s="17" t="s">
        <v>70</v>
      </c>
      <c r="D33" s="17"/>
      <c r="E33" s="17" t="s">
        <v>811</v>
      </c>
      <c r="F33" s="17"/>
      <c r="G33" s="17"/>
      <c r="H33" s="17" t="s">
        <v>812</v>
      </c>
      <c r="I33" s="17" t="s">
        <v>73</v>
      </c>
      <c r="J33" s="17" t="s">
        <v>78</v>
      </c>
      <c r="K33" s="18">
        <v>0.107</v>
      </c>
      <c r="L33" s="17" t="s">
        <v>74</v>
      </c>
      <c r="M33" s="19">
        <v>45803</v>
      </c>
      <c r="N33" s="19">
        <v>46152</v>
      </c>
      <c r="O33" s="17" t="s">
        <v>830</v>
      </c>
    </row>
    <row r="34" spans="1:15" x14ac:dyDescent="0.25">
      <c r="A34" s="17" t="s">
        <v>68</v>
      </c>
      <c r="B34" s="17" t="s">
        <v>69</v>
      </c>
      <c r="C34" s="17" t="s">
        <v>70</v>
      </c>
      <c r="D34" s="17"/>
      <c r="E34" s="17" t="s">
        <v>1173</v>
      </c>
      <c r="F34" s="17"/>
      <c r="G34" s="17"/>
      <c r="H34" s="17" t="s">
        <v>72</v>
      </c>
      <c r="I34" s="17" t="s">
        <v>73</v>
      </c>
      <c r="J34" s="17" t="s">
        <v>55</v>
      </c>
      <c r="K34" s="18">
        <v>95.4</v>
      </c>
      <c r="L34" s="17" t="s">
        <v>74</v>
      </c>
      <c r="M34" s="19">
        <v>46057</v>
      </c>
      <c r="N34" s="19">
        <v>47131</v>
      </c>
      <c r="O34" s="17" t="s">
        <v>830</v>
      </c>
    </row>
    <row r="35" spans="1:15" x14ac:dyDescent="0.25">
      <c r="A35" s="17" t="s">
        <v>984</v>
      </c>
      <c r="B35" s="17" t="s">
        <v>69</v>
      </c>
      <c r="C35" s="17" t="s">
        <v>70</v>
      </c>
      <c r="D35" s="17"/>
      <c r="E35" s="17" t="s">
        <v>1213</v>
      </c>
      <c r="F35" s="17"/>
      <c r="G35" s="17"/>
      <c r="H35" s="17" t="s">
        <v>986</v>
      </c>
      <c r="I35" s="17" t="s">
        <v>73</v>
      </c>
      <c r="J35" s="17" t="s">
        <v>55</v>
      </c>
      <c r="K35" s="18">
        <v>92.64</v>
      </c>
      <c r="L35" s="17" t="s">
        <v>74</v>
      </c>
      <c r="M35" s="19">
        <v>46062</v>
      </c>
      <c r="N35" s="19">
        <v>47137</v>
      </c>
      <c r="O35" s="17" t="s">
        <v>830</v>
      </c>
    </row>
    <row r="36" spans="1:15" x14ac:dyDescent="0.25">
      <c r="A36" s="17" t="s">
        <v>82</v>
      </c>
      <c r="B36" s="17" t="s">
        <v>69</v>
      </c>
      <c r="C36" s="17" t="s">
        <v>70</v>
      </c>
      <c r="D36" s="17"/>
      <c r="E36" s="17" t="s">
        <v>1268</v>
      </c>
      <c r="F36" s="17"/>
      <c r="G36" s="17"/>
      <c r="H36" s="17" t="s">
        <v>84</v>
      </c>
      <c r="I36" s="17" t="s">
        <v>73</v>
      </c>
      <c r="J36" s="17" t="s">
        <v>55</v>
      </c>
      <c r="K36" s="18">
        <v>92.52</v>
      </c>
      <c r="L36" s="17" t="s">
        <v>74</v>
      </c>
      <c r="M36" s="19">
        <v>46072</v>
      </c>
      <c r="N36" s="19">
        <v>47143</v>
      </c>
      <c r="O36" s="17" t="s">
        <v>830</v>
      </c>
    </row>
    <row r="37" spans="1:15" x14ac:dyDescent="0.25">
      <c r="A37" s="17" t="s">
        <v>86</v>
      </c>
      <c r="B37" s="17" t="s">
        <v>69</v>
      </c>
      <c r="C37" s="17" t="s">
        <v>70</v>
      </c>
      <c r="D37" s="17"/>
      <c r="E37" s="17" t="s">
        <v>89</v>
      </c>
      <c r="F37" s="17"/>
      <c r="G37" s="17"/>
      <c r="H37" s="17" t="s">
        <v>87</v>
      </c>
      <c r="I37" s="17" t="s">
        <v>73</v>
      </c>
      <c r="J37" s="17" t="s">
        <v>55</v>
      </c>
      <c r="K37" s="18">
        <v>99.84</v>
      </c>
      <c r="L37" s="17" t="s">
        <v>74</v>
      </c>
      <c r="M37" s="19">
        <v>46037</v>
      </c>
      <c r="N37" s="19">
        <v>47100</v>
      </c>
      <c r="O37" s="17" t="s">
        <v>830</v>
      </c>
    </row>
    <row r="38" spans="1:15" x14ac:dyDescent="0.25">
      <c r="A38" s="17" t="s">
        <v>91</v>
      </c>
      <c r="B38" s="17" t="s">
        <v>69</v>
      </c>
      <c r="C38" s="17" t="s">
        <v>70</v>
      </c>
      <c r="D38" s="17"/>
      <c r="E38" s="17" t="s">
        <v>92</v>
      </c>
      <c r="F38" s="17"/>
      <c r="G38" s="17"/>
      <c r="H38" s="17" t="s">
        <v>93</v>
      </c>
      <c r="I38" s="17" t="s">
        <v>73</v>
      </c>
      <c r="J38" s="17" t="s">
        <v>55</v>
      </c>
      <c r="K38" s="18">
        <v>47.76</v>
      </c>
      <c r="L38" s="17" t="s">
        <v>74</v>
      </c>
      <c r="M38" s="19">
        <v>46036</v>
      </c>
      <c r="N38" s="19">
        <v>47100</v>
      </c>
      <c r="O38" s="17" t="s">
        <v>830</v>
      </c>
    </row>
    <row r="39" spans="1:15" x14ac:dyDescent="0.25">
      <c r="A39" s="17" t="s">
        <v>94</v>
      </c>
      <c r="B39" s="17" t="s">
        <v>69</v>
      </c>
      <c r="C39" s="17" t="s">
        <v>70</v>
      </c>
      <c r="D39" s="17"/>
      <c r="E39" s="17" t="s">
        <v>1214</v>
      </c>
      <c r="F39" s="17"/>
      <c r="G39" s="17"/>
      <c r="H39" s="17" t="s">
        <v>96</v>
      </c>
      <c r="I39" s="17" t="s">
        <v>73</v>
      </c>
      <c r="J39" s="17" t="s">
        <v>55</v>
      </c>
      <c r="K39" s="18">
        <v>66</v>
      </c>
      <c r="L39" s="17" t="s">
        <v>74</v>
      </c>
      <c r="M39" s="19">
        <v>46065</v>
      </c>
      <c r="N39" s="19">
        <v>47137</v>
      </c>
      <c r="O39" s="17" t="s">
        <v>830</v>
      </c>
    </row>
    <row r="40" spans="1:15" x14ac:dyDescent="0.25">
      <c r="A40" s="17" t="s">
        <v>98</v>
      </c>
      <c r="B40" s="17" t="s">
        <v>69</v>
      </c>
      <c r="C40" s="17" t="s">
        <v>70</v>
      </c>
      <c r="D40" s="17"/>
      <c r="E40" s="17" t="s">
        <v>103</v>
      </c>
      <c r="F40" s="17"/>
      <c r="G40" s="17"/>
      <c r="H40" s="17" t="s">
        <v>100</v>
      </c>
      <c r="I40" s="17" t="s">
        <v>73</v>
      </c>
      <c r="J40" s="17" t="s">
        <v>55</v>
      </c>
      <c r="K40" s="18">
        <v>0.48</v>
      </c>
      <c r="L40" s="17" t="s">
        <v>74</v>
      </c>
      <c r="M40" s="19">
        <v>45996</v>
      </c>
      <c r="N40" s="19">
        <v>47065</v>
      </c>
      <c r="O40" s="17" t="s">
        <v>830</v>
      </c>
    </row>
    <row r="41" spans="1:15" x14ac:dyDescent="0.25">
      <c r="A41" s="17" t="s">
        <v>107</v>
      </c>
      <c r="B41" s="17" t="s">
        <v>69</v>
      </c>
      <c r="C41" s="17" t="s">
        <v>70</v>
      </c>
      <c r="D41" s="17"/>
      <c r="E41" s="17" t="s">
        <v>972</v>
      </c>
      <c r="F41" s="17"/>
      <c r="G41" s="17"/>
      <c r="H41" s="17" t="s">
        <v>109</v>
      </c>
      <c r="I41" s="17" t="s">
        <v>73</v>
      </c>
      <c r="J41" s="17" t="s">
        <v>55</v>
      </c>
      <c r="K41" s="18">
        <v>0.36</v>
      </c>
      <c r="L41" s="17" t="s">
        <v>74</v>
      </c>
      <c r="M41" s="19">
        <v>46000</v>
      </c>
      <c r="N41" s="19">
        <v>47065</v>
      </c>
      <c r="O41" s="17" t="s">
        <v>830</v>
      </c>
    </row>
    <row r="42" spans="1:15" x14ac:dyDescent="0.25">
      <c r="A42" s="17" t="s">
        <v>107</v>
      </c>
      <c r="B42" s="17" t="s">
        <v>69</v>
      </c>
      <c r="C42" s="17" t="s">
        <v>70</v>
      </c>
      <c r="D42" s="17"/>
      <c r="E42" s="17" t="s">
        <v>111</v>
      </c>
      <c r="F42" s="17"/>
      <c r="G42" s="17"/>
      <c r="H42" s="17" t="s">
        <v>109</v>
      </c>
      <c r="I42" s="17" t="s">
        <v>73</v>
      </c>
      <c r="J42" s="17" t="s">
        <v>55</v>
      </c>
      <c r="K42" s="18">
        <v>1.92</v>
      </c>
      <c r="L42" s="17" t="s">
        <v>74</v>
      </c>
      <c r="M42" s="19">
        <v>46038</v>
      </c>
      <c r="N42" s="19">
        <v>47115</v>
      </c>
      <c r="O42" s="17" t="s">
        <v>830</v>
      </c>
    </row>
    <row r="43" spans="1:15" x14ac:dyDescent="0.25">
      <c r="A43" s="17" t="s">
        <v>112</v>
      </c>
      <c r="B43" s="17" t="s">
        <v>69</v>
      </c>
      <c r="C43" s="17" t="s">
        <v>70</v>
      </c>
      <c r="D43" s="17"/>
      <c r="E43" s="17" t="s">
        <v>966</v>
      </c>
      <c r="F43" s="17"/>
      <c r="G43" s="17"/>
      <c r="H43" s="17" t="s">
        <v>114</v>
      </c>
      <c r="I43" s="17" t="s">
        <v>73</v>
      </c>
      <c r="J43" s="17" t="s">
        <v>55</v>
      </c>
      <c r="K43" s="18">
        <v>0.6</v>
      </c>
      <c r="L43" s="17" t="s">
        <v>74</v>
      </c>
      <c r="M43" s="19">
        <v>45979</v>
      </c>
      <c r="N43" s="19">
        <v>47047</v>
      </c>
      <c r="O43" s="17" t="s">
        <v>830</v>
      </c>
    </row>
    <row r="44" spans="1:15" x14ac:dyDescent="0.25">
      <c r="A44" s="17" t="s">
        <v>122</v>
      </c>
      <c r="B44" s="17" t="s">
        <v>69</v>
      </c>
      <c r="C44" s="17" t="s">
        <v>70</v>
      </c>
      <c r="D44" s="17"/>
      <c r="E44" s="17" t="s">
        <v>1269</v>
      </c>
      <c r="F44" s="17"/>
      <c r="G44" s="17"/>
      <c r="H44" s="17" t="s">
        <v>123</v>
      </c>
      <c r="I44" s="17" t="s">
        <v>73</v>
      </c>
      <c r="J44" s="17" t="s">
        <v>55</v>
      </c>
      <c r="K44" s="18">
        <v>136.56</v>
      </c>
      <c r="L44" s="17" t="s">
        <v>74</v>
      </c>
      <c r="M44" s="19">
        <v>46072</v>
      </c>
      <c r="N44" s="19">
        <v>47143</v>
      </c>
      <c r="O44" s="17" t="s">
        <v>830</v>
      </c>
    </row>
    <row r="45" spans="1:15" x14ac:dyDescent="0.25">
      <c r="A45" s="17" t="s">
        <v>127</v>
      </c>
      <c r="B45" s="17" t="s">
        <v>69</v>
      </c>
      <c r="C45" s="17" t="s">
        <v>70</v>
      </c>
      <c r="D45" s="17"/>
      <c r="E45" s="17" t="s">
        <v>1215</v>
      </c>
      <c r="F45" s="17"/>
      <c r="G45" s="17"/>
      <c r="H45" s="17" t="s">
        <v>129</v>
      </c>
      <c r="I45" s="17" t="s">
        <v>73</v>
      </c>
      <c r="J45" s="17" t="s">
        <v>55</v>
      </c>
      <c r="K45" s="18">
        <v>142.44</v>
      </c>
      <c r="L45" s="17" t="s">
        <v>74</v>
      </c>
      <c r="M45" s="19">
        <v>46063</v>
      </c>
      <c r="N45" s="19">
        <v>47122</v>
      </c>
      <c r="O45" s="17" t="s">
        <v>830</v>
      </c>
    </row>
    <row r="46" spans="1:15" x14ac:dyDescent="0.25">
      <c r="A46" s="17" t="s">
        <v>131</v>
      </c>
      <c r="B46" s="17" t="s">
        <v>69</v>
      </c>
      <c r="C46" s="17" t="s">
        <v>70</v>
      </c>
      <c r="D46" s="17"/>
      <c r="E46" s="17" t="s">
        <v>132</v>
      </c>
      <c r="F46" s="17"/>
      <c r="G46" s="17"/>
      <c r="H46" s="17" t="s">
        <v>133</v>
      </c>
      <c r="I46" s="17" t="s">
        <v>73</v>
      </c>
      <c r="J46" s="17" t="s">
        <v>55</v>
      </c>
      <c r="K46" s="18">
        <v>0.12</v>
      </c>
      <c r="L46" s="17" t="s">
        <v>74</v>
      </c>
      <c r="M46" s="19">
        <v>45979</v>
      </c>
      <c r="N46" s="19">
        <v>47047</v>
      </c>
      <c r="O46" s="17" t="s">
        <v>830</v>
      </c>
    </row>
    <row r="47" spans="1:15" x14ac:dyDescent="0.25">
      <c r="A47" s="17" t="s">
        <v>131</v>
      </c>
      <c r="B47" s="17" t="s">
        <v>69</v>
      </c>
      <c r="C47" s="17" t="s">
        <v>70</v>
      </c>
      <c r="D47" s="17"/>
      <c r="E47" s="17" t="s">
        <v>1216</v>
      </c>
      <c r="F47" s="17"/>
      <c r="G47" s="17"/>
      <c r="H47" s="17" t="s">
        <v>133</v>
      </c>
      <c r="I47" s="17" t="s">
        <v>73</v>
      </c>
      <c r="J47" s="17" t="s">
        <v>55</v>
      </c>
      <c r="K47" s="18">
        <v>95.52</v>
      </c>
      <c r="L47" s="17" t="s">
        <v>74</v>
      </c>
      <c r="M47" s="19">
        <v>46062</v>
      </c>
      <c r="N47" s="19">
        <v>47137</v>
      </c>
      <c r="O47" s="17" t="s">
        <v>830</v>
      </c>
    </row>
    <row r="48" spans="1:15" x14ac:dyDescent="0.25">
      <c r="A48" s="17" t="s">
        <v>134</v>
      </c>
      <c r="B48" s="17" t="s">
        <v>69</v>
      </c>
      <c r="C48" s="17" t="s">
        <v>70</v>
      </c>
      <c r="D48" s="17"/>
      <c r="E48" s="17" t="s">
        <v>1218</v>
      </c>
      <c r="F48" s="17"/>
      <c r="G48" s="17"/>
      <c r="H48" s="17" t="s">
        <v>136</v>
      </c>
      <c r="I48" s="17" t="s">
        <v>73</v>
      </c>
      <c r="J48" s="17" t="s">
        <v>55</v>
      </c>
      <c r="K48" s="18">
        <v>280</v>
      </c>
      <c r="L48" s="17" t="s">
        <v>74</v>
      </c>
      <c r="M48" s="19">
        <v>46062</v>
      </c>
      <c r="N48" s="19">
        <v>46328</v>
      </c>
      <c r="O48" s="17" t="s">
        <v>830</v>
      </c>
    </row>
    <row r="49" spans="1:15" x14ac:dyDescent="0.25">
      <c r="A49" s="17" t="s">
        <v>134</v>
      </c>
      <c r="B49" s="17" t="s">
        <v>69</v>
      </c>
      <c r="C49" s="17" t="s">
        <v>70</v>
      </c>
      <c r="D49" s="17"/>
      <c r="E49" s="17" t="s">
        <v>137</v>
      </c>
      <c r="F49" s="17"/>
      <c r="G49" s="17"/>
      <c r="H49" s="17" t="s">
        <v>136</v>
      </c>
      <c r="I49" s="17" t="s">
        <v>73</v>
      </c>
      <c r="J49" s="17" t="s">
        <v>55</v>
      </c>
      <c r="K49" s="18">
        <v>270.5</v>
      </c>
      <c r="L49" s="17" t="s">
        <v>74</v>
      </c>
      <c r="M49" s="19">
        <v>46043</v>
      </c>
      <c r="N49" s="19">
        <v>46306</v>
      </c>
      <c r="O49" s="17" t="s">
        <v>830</v>
      </c>
    </row>
    <row r="50" spans="1:15" x14ac:dyDescent="0.25">
      <c r="A50" s="17" t="s">
        <v>134</v>
      </c>
      <c r="B50" s="17" t="s">
        <v>69</v>
      </c>
      <c r="C50" s="17" t="s">
        <v>70</v>
      </c>
      <c r="D50" s="17"/>
      <c r="E50" s="17" t="s">
        <v>135</v>
      </c>
      <c r="F50" s="17"/>
      <c r="G50" s="17"/>
      <c r="H50" s="17" t="s">
        <v>136</v>
      </c>
      <c r="I50" s="17" t="s">
        <v>73</v>
      </c>
      <c r="J50" s="17" t="s">
        <v>55</v>
      </c>
      <c r="K50" s="18">
        <v>281</v>
      </c>
      <c r="L50" s="17" t="s">
        <v>74</v>
      </c>
      <c r="M50" s="19">
        <v>46001</v>
      </c>
      <c r="N50" s="19">
        <v>46256</v>
      </c>
      <c r="O50" s="17" t="s">
        <v>830</v>
      </c>
    </row>
    <row r="51" spans="1:15" x14ac:dyDescent="0.25">
      <c r="A51" s="17" t="s">
        <v>201</v>
      </c>
      <c r="B51" s="17" t="s">
        <v>69</v>
      </c>
      <c r="C51" s="17" t="s">
        <v>70</v>
      </c>
      <c r="D51" s="17"/>
      <c r="E51" s="17" t="s">
        <v>1169</v>
      </c>
      <c r="F51" s="17"/>
      <c r="G51" s="17"/>
      <c r="H51" s="17" t="s">
        <v>203</v>
      </c>
      <c r="I51" s="17" t="s">
        <v>73</v>
      </c>
      <c r="J51" s="17" t="s">
        <v>55</v>
      </c>
      <c r="K51" s="18">
        <v>8.0399999999999991</v>
      </c>
      <c r="L51" s="17" t="s">
        <v>74</v>
      </c>
      <c r="M51" s="19">
        <v>46057</v>
      </c>
      <c r="N51" s="19">
        <v>47122</v>
      </c>
      <c r="O51" s="17" t="s">
        <v>830</v>
      </c>
    </row>
    <row r="52" spans="1:15" x14ac:dyDescent="0.25">
      <c r="A52" s="17" t="s">
        <v>211</v>
      </c>
      <c r="B52" s="17" t="s">
        <v>69</v>
      </c>
      <c r="C52" s="17" t="s">
        <v>70</v>
      </c>
      <c r="D52" s="17"/>
      <c r="E52" s="17" t="s">
        <v>214</v>
      </c>
      <c r="F52" s="17"/>
      <c r="G52" s="17"/>
      <c r="H52" s="17" t="s">
        <v>213</v>
      </c>
      <c r="I52" s="17" t="s">
        <v>73</v>
      </c>
      <c r="J52" s="17" t="s">
        <v>55</v>
      </c>
      <c r="K52" s="18">
        <v>0.108</v>
      </c>
      <c r="L52" s="17" t="s">
        <v>74</v>
      </c>
      <c r="M52" s="19">
        <v>45957</v>
      </c>
      <c r="N52" s="19">
        <v>47025</v>
      </c>
      <c r="O52" s="17" t="s">
        <v>830</v>
      </c>
    </row>
    <row r="53" spans="1:15" x14ac:dyDescent="0.25">
      <c r="A53" s="17" t="s">
        <v>227</v>
      </c>
      <c r="B53" s="17" t="s">
        <v>69</v>
      </c>
      <c r="C53" s="17" t="s">
        <v>70</v>
      </c>
      <c r="D53" s="17"/>
      <c r="E53" s="17" t="s">
        <v>228</v>
      </c>
      <c r="F53" s="17"/>
      <c r="G53" s="17"/>
      <c r="H53" s="17" t="s">
        <v>229</v>
      </c>
      <c r="I53" s="17" t="s">
        <v>73</v>
      </c>
      <c r="J53" s="17" t="s">
        <v>55</v>
      </c>
      <c r="K53" s="18">
        <v>14.5</v>
      </c>
      <c r="L53" s="17" t="s">
        <v>74</v>
      </c>
      <c r="M53" s="19">
        <v>45941</v>
      </c>
      <c r="N53" s="19">
        <v>47012</v>
      </c>
      <c r="O53" s="17" t="s">
        <v>830</v>
      </c>
    </row>
    <row r="54" spans="1:15" x14ac:dyDescent="0.25">
      <c r="A54" s="17" t="s">
        <v>240</v>
      </c>
      <c r="B54" s="17" t="s">
        <v>69</v>
      </c>
      <c r="C54" s="17" t="s">
        <v>70</v>
      </c>
      <c r="D54" s="17"/>
      <c r="E54" s="17" t="s">
        <v>241</v>
      </c>
      <c r="F54" s="17"/>
      <c r="G54" s="17"/>
      <c r="H54" s="17" t="s">
        <v>242</v>
      </c>
      <c r="I54" s="17" t="s">
        <v>73</v>
      </c>
      <c r="J54" s="17" t="s">
        <v>55</v>
      </c>
      <c r="K54" s="18">
        <v>59</v>
      </c>
      <c r="L54" s="17" t="s">
        <v>74</v>
      </c>
      <c r="M54" s="19">
        <v>45965</v>
      </c>
      <c r="N54" s="19">
        <v>47038</v>
      </c>
      <c r="O54" s="17" t="s">
        <v>830</v>
      </c>
    </row>
    <row r="55" spans="1:15" x14ac:dyDescent="0.25">
      <c r="A55" s="17" t="s">
        <v>253</v>
      </c>
      <c r="B55" s="17" t="s">
        <v>69</v>
      </c>
      <c r="C55" s="17" t="s">
        <v>70</v>
      </c>
      <c r="D55" s="17"/>
      <c r="E55" s="17" t="s">
        <v>254</v>
      </c>
      <c r="F55" s="17"/>
      <c r="G55" s="17"/>
      <c r="H55" s="17" t="s">
        <v>255</v>
      </c>
      <c r="I55" s="17" t="s">
        <v>73</v>
      </c>
      <c r="J55" s="17" t="s">
        <v>55</v>
      </c>
      <c r="K55" s="18">
        <v>45</v>
      </c>
      <c r="L55" s="17" t="s">
        <v>74</v>
      </c>
      <c r="M55" s="19">
        <v>46009</v>
      </c>
      <c r="N55" s="19">
        <v>47087</v>
      </c>
      <c r="O55" s="17" t="s">
        <v>830</v>
      </c>
    </row>
    <row r="56" spans="1:15" x14ac:dyDescent="0.25">
      <c r="A56" s="17" t="s">
        <v>297</v>
      </c>
      <c r="B56" s="17" t="s">
        <v>69</v>
      </c>
      <c r="C56" s="17" t="s">
        <v>70</v>
      </c>
      <c r="D56" s="17"/>
      <c r="E56" s="17" t="s">
        <v>301</v>
      </c>
      <c r="F56" s="17"/>
      <c r="G56" s="17"/>
      <c r="H56" s="17" t="s">
        <v>299</v>
      </c>
      <c r="I56" s="17" t="s">
        <v>73</v>
      </c>
      <c r="J56" s="17" t="s">
        <v>55</v>
      </c>
      <c r="K56" s="18">
        <v>84</v>
      </c>
      <c r="L56" s="17" t="s">
        <v>74</v>
      </c>
      <c r="M56" s="19">
        <v>46000</v>
      </c>
      <c r="N56" s="19">
        <v>46712</v>
      </c>
      <c r="O56" s="17" t="s">
        <v>830</v>
      </c>
    </row>
    <row r="57" spans="1:15" x14ac:dyDescent="0.25">
      <c r="A57" s="17" t="s">
        <v>308</v>
      </c>
      <c r="B57" s="17" t="s">
        <v>69</v>
      </c>
      <c r="C57" s="17" t="s">
        <v>70</v>
      </c>
      <c r="D57" s="17"/>
      <c r="E57" s="17" t="s">
        <v>309</v>
      </c>
      <c r="F57" s="17"/>
      <c r="G57" s="17"/>
      <c r="H57" s="17" t="s">
        <v>299</v>
      </c>
      <c r="I57" s="17" t="s">
        <v>73</v>
      </c>
      <c r="J57" s="17" t="s">
        <v>55</v>
      </c>
      <c r="K57" s="18">
        <v>0.9</v>
      </c>
      <c r="L57" s="17" t="s">
        <v>74</v>
      </c>
      <c r="M57" s="19">
        <v>45968</v>
      </c>
      <c r="N57" s="19">
        <v>46681</v>
      </c>
      <c r="O57" s="17" t="s">
        <v>830</v>
      </c>
    </row>
    <row r="58" spans="1:15" x14ac:dyDescent="0.25">
      <c r="A58" s="17" t="s">
        <v>327</v>
      </c>
      <c r="B58" s="17" t="s">
        <v>69</v>
      </c>
      <c r="C58" s="17" t="s">
        <v>70</v>
      </c>
      <c r="D58" s="17" t="s">
        <v>1146</v>
      </c>
      <c r="E58" s="17" t="s">
        <v>328</v>
      </c>
      <c r="F58" s="17"/>
      <c r="G58" s="17"/>
      <c r="H58" s="17" t="s">
        <v>329</v>
      </c>
      <c r="I58" s="17" t="s">
        <v>73</v>
      </c>
      <c r="J58" s="17" t="s">
        <v>55</v>
      </c>
      <c r="K58" s="18">
        <v>0.36</v>
      </c>
      <c r="L58" s="17" t="s">
        <v>74</v>
      </c>
      <c r="M58" s="19">
        <v>45660</v>
      </c>
      <c r="N58" s="19">
        <v>46134</v>
      </c>
      <c r="O58" s="17" t="s">
        <v>830</v>
      </c>
    </row>
    <row r="59" spans="1:15" x14ac:dyDescent="0.25">
      <c r="A59" s="17" t="s">
        <v>330</v>
      </c>
      <c r="B59" s="17" t="s">
        <v>69</v>
      </c>
      <c r="C59" s="17" t="s">
        <v>70</v>
      </c>
      <c r="D59" s="17"/>
      <c r="E59" s="17" t="s">
        <v>331</v>
      </c>
      <c r="F59" s="17"/>
      <c r="G59" s="17"/>
      <c r="H59" s="17" t="s">
        <v>332</v>
      </c>
      <c r="I59" s="17" t="s">
        <v>73</v>
      </c>
      <c r="J59" s="17" t="s">
        <v>55</v>
      </c>
      <c r="K59" s="18">
        <v>0.9</v>
      </c>
      <c r="L59" s="17" t="s">
        <v>74</v>
      </c>
      <c r="M59" s="19">
        <v>45957</v>
      </c>
      <c r="N59" s="19">
        <v>46667</v>
      </c>
      <c r="O59" s="17" t="s">
        <v>830</v>
      </c>
    </row>
    <row r="60" spans="1:15" x14ac:dyDescent="0.25">
      <c r="A60" s="17" t="s">
        <v>348</v>
      </c>
      <c r="B60" s="17" t="s">
        <v>69</v>
      </c>
      <c r="C60" s="17" t="s">
        <v>70</v>
      </c>
      <c r="D60" s="17"/>
      <c r="E60" s="17" t="s">
        <v>350</v>
      </c>
      <c r="F60" s="17"/>
      <c r="G60" s="17"/>
      <c r="H60" s="17" t="s">
        <v>349</v>
      </c>
      <c r="I60" s="17" t="s">
        <v>73</v>
      </c>
      <c r="J60" s="17" t="s">
        <v>55</v>
      </c>
      <c r="K60" s="18">
        <v>155.52000000000001</v>
      </c>
      <c r="L60" s="17" t="s">
        <v>74</v>
      </c>
      <c r="M60" s="19">
        <v>46013</v>
      </c>
      <c r="N60" s="19">
        <v>46720</v>
      </c>
      <c r="O60" s="17" t="s">
        <v>830</v>
      </c>
    </row>
    <row r="61" spans="1:15" x14ac:dyDescent="0.25">
      <c r="A61" s="17" t="s">
        <v>45</v>
      </c>
      <c r="B61" s="17" t="s">
        <v>69</v>
      </c>
      <c r="C61" s="17" t="s">
        <v>70</v>
      </c>
      <c r="D61" s="17"/>
      <c r="E61" s="17" t="s">
        <v>1220</v>
      </c>
      <c r="F61" s="17"/>
      <c r="G61" s="17"/>
      <c r="H61" s="17" t="s">
        <v>47</v>
      </c>
      <c r="I61" s="17" t="s">
        <v>73</v>
      </c>
      <c r="J61" s="17" t="s">
        <v>55</v>
      </c>
      <c r="K61" s="18">
        <v>234.9</v>
      </c>
      <c r="L61" s="17" t="s">
        <v>74</v>
      </c>
      <c r="M61" s="19">
        <v>46065</v>
      </c>
      <c r="N61" s="19">
        <v>46771</v>
      </c>
      <c r="O61" s="17" t="s">
        <v>830</v>
      </c>
    </row>
    <row r="62" spans="1:15" x14ac:dyDescent="0.25">
      <c r="A62" s="17" t="s">
        <v>395</v>
      </c>
      <c r="B62" s="17" t="s">
        <v>69</v>
      </c>
      <c r="C62" s="17" t="s">
        <v>70</v>
      </c>
      <c r="D62" s="17"/>
      <c r="E62" s="17" t="s">
        <v>396</v>
      </c>
      <c r="F62" s="17"/>
      <c r="G62" s="17"/>
      <c r="H62" s="17" t="s">
        <v>47</v>
      </c>
      <c r="I62" s="17" t="s">
        <v>73</v>
      </c>
      <c r="J62" s="17" t="s">
        <v>55</v>
      </c>
      <c r="K62" s="18">
        <v>110.88</v>
      </c>
      <c r="L62" s="17" t="s">
        <v>74</v>
      </c>
      <c r="M62" s="19">
        <v>46044</v>
      </c>
      <c r="N62" s="19">
        <v>46757</v>
      </c>
      <c r="O62" s="17" t="s">
        <v>830</v>
      </c>
    </row>
    <row r="63" spans="1:15" x14ac:dyDescent="0.25">
      <c r="A63" s="17" t="s">
        <v>412</v>
      </c>
      <c r="B63" s="17" t="s">
        <v>69</v>
      </c>
      <c r="C63" s="17" t="s">
        <v>70</v>
      </c>
      <c r="D63" s="17"/>
      <c r="E63" s="17" t="s">
        <v>1221</v>
      </c>
      <c r="F63" s="17"/>
      <c r="G63" s="17"/>
      <c r="H63" s="17" t="s">
        <v>414</v>
      </c>
      <c r="I63" s="17" t="s">
        <v>73</v>
      </c>
      <c r="J63" s="17" t="s">
        <v>55</v>
      </c>
      <c r="K63" s="18">
        <v>240.48</v>
      </c>
      <c r="L63" s="17" t="s">
        <v>74</v>
      </c>
      <c r="M63" s="19">
        <v>46062</v>
      </c>
      <c r="N63" s="19">
        <v>46763</v>
      </c>
      <c r="O63" s="17" t="s">
        <v>830</v>
      </c>
    </row>
    <row r="64" spans="1:15" x14ac:dyDescent="0.25">
      <c r="A64" s="17" t="s">
        <v>412</v>
      </c>
      <c r="B64" s="17" t="s">
        <v>69</v>
      </c>
      <c r="C64" s="17" t="s">
        <v>70</v>
      </c>
      <c r="D64" s="17"/>
      <c r="E64" s="17" t="s">
        <v>413</v>
      </c>
      <c r="F64" s="17"/>
      <c r="G64" s="17"/>
      <c r="H64" s="17" t="s">
        <v>414</v>
      </c>
      <c r="I64" s="17" t="s">
        <v>73</v>
      </c>
      <c r="J64" s="17" t="s">
        <v>55</v>
      </c>
      <c r="K64" s="18">
        <v>0.72</v>
      </c>
      <c r="L64" s="17" t="s">
        <v>74</v>
      </c>
      <c r="M64" s="19">
        <v>45974</v>
      </c>
      <c r="N64" s="19">
        <v>46686</v>
      </c>
      <c r="O64" s="17" t="s">
        <v>830</v>
      </c>
    </row>
    <row r="65" spans="1:15" x14ac:dyDescent="0.25">
      <c r="A65" s="17" t="s">
        <v>418</v>
      </c>
      <c r="B65" s="17" t="s">
        <v>69</v>
      </c>
      <c r="C65" s="17" t="s">
        <v>70</v>
      </c>
      <c r="D65" s="17"/>
      <c r="E65" s="17" t="s">
        <v>1158</v>
      </c>
      <c r="F65" s="17"/>
      <c r="G65" s="17"/>
      <c r="H65" s="17" t="s">
        <v>414</v>
      </c>
      <c r="I65" s="17" t="s">
        <v>73</v>
      </c>
      <c r="J65" s="17" t="s">
        <v>55</v>
      </c>
      <c r="K65" s="18">
        <v>255.6</v>
      </c>
      <c r="L65" s="17" t="s">
        <v>74</v>
      </c>
      <c r="M65" s="19">
        <v>46055</v>
      </c>
      <c r="N65" s="19">
        <v>46757</v>
      </c>
      <c r="O65" s="17" t="s">
        <v>830</v>
      </c>
    </row>
    <row r="66" spans="1:15" x14ac:dyDescent="0.25">
      <c r="A66" s="17" t="s">
        <v>420</v>
      </c>
      <c r="B66" s="17" t="s">
        <v>69</v>
      </c>
      <c r="C66" s="17" t="s">
        <v>70</v>
      </c>
      <c r="D66" s="17"/>
      <c r="E66" s="17" t="s">
        <v>1270</v>
      </c>
      <c r="F66" s="17"/>
      <c r="G66" s="17"/>
      <c r="H66" s="17" t="s">
        <v>422</v>
      </c>
      <c r="I66" s="17" t="s">
        <v>73</v>
      </c>
      <c r="J66" s="17" t="s">
        <v>55</v>
      </c>
      <c r="K66" s="18">
        <v>153.93600000000001</v>
      </c>
      <c r="L66" s="17" t="s">
        <v>74</v>
      </c>
      <c r="M66" s="19">
        <v>46072</v>
      </c>
      <c r="N66" s="19">
        <v>46786</v>
      </c>
      <c r="O66" s="17" t="s">
        <v>830</v>
      </c>
    </row>
    <row r="67" spans="1:15" x14ac:dyDescent="0.25">
      <c r="A67" s="17" t="s">
        <v>423</v>
      </c>
      <c r="B67" s="17" t="s">
        <v>69</v>
      </c>
      <c r="C67" s="17" t="s">
        <v>70</v>
      </c>
      <c r="D67" s="17"/>
      <c r="E67" s="17" t="s">
        <v>427</v>
      </c>
      <c r="F67" s="17"/>
      <c r="G67" s="17"/>
      <c r="H67" s="17" t="s">
        <v>425</v>
      </c>
      <c r="I67" s="17" t="s">
        <v>73</v>
      </c>
      <c r="J67" s="17" t="s">
        <v>55</v>
      </c>
      <c r="K67" s="18">
        <v>252.75</v>
      </c>
      <c r="L67" s="17" t="s">
        <v>74</v>
      </c>
      <c r="M67" s="19">
        <v>45973</v>
      </c>
      <c r="N67" s="19">
        <v>46673</v>
      </c>
      <c r="O67" s="17" t="s">
        <v>830</v>
      </c>
    </row>
    <row r="68" spans="1:15" x14ac:dyDescent="0.25">
      <c r="A68" s="17" t="s">
        <v>503</v>
      </c>
      <c r="B68" s="17" t="s">
        <v>69</v>
      </c>
      <c r="C68" s="17" t="s">
        <v>70</v>
      </c>
      <c r="D68" s="17"/>
      <c r="E68" s="17" t="s">
        <v>1160</v>
      </c>
      <c r="F68" s="17"/>
      <c r="G68" s="17"/>
      <c r="H68" s="17" t="s">
        <v>505</v>
      </c>
      <c r="I68" s="17" t="s">
        <v>73</v>
      </c>
      <c r="J68" s="17" t="s">
        <v>55</v>
      </c>
      <c r="K68" s="18">
        <v>252.72</v>
      </c>
      <c r="L68" s="17" t="s">
        <v>74</v>
      </c>
      <c r="M68" s="19">
        <v>46055</v>
      </c>
      <c r="N68" s="19">
        <v>46769</v>
      </c>
      <c r="O68" s="17" t="s">
        <v>830</v>
      </c>
    </row>
    <row r="69" spans="1:15" x14ac:dyDescent="0.25">
      <c r="A69" s="17" t="s">
        <v>503</v>
      </c>
      <c r="B69" s="17" t="s">
        <v>69</v>
      </c>
      <c r="C69" s="17" t="s">
        <v>70</v>
      </c>
      <c r="D69" s="17"/>
      <c r="E69" s="17" t="s">
        <v>504</v>
      </c>
      <c r="F69" s="17"/>
      <c r="G69" s="17"/>
      <c r="H69" s="17" t="s">
        <v>505</v>
      </c>
      <c r="I69" s="17" t="s">
        <v>73</v>
      </c>
      <c r="J69" s="17" t="s">
        <v>55</v>
      </c>
      <c r="K69" s="18">
        <v>119.16</v>
      </c>
      <c r="L69" s="17" t="s">
        <v>74</v>
      </c>
      <c r="M69" s="19">
        <v>45988</v>
      </c>
      <c r="N69" s="19">
        <v>46694</v>
      </c>
      <c r="O69" s="17" t="s">
        <v>830</v>
      </c>
    </row>
    <row r="70" spans="1:15" x14ac:dyDescent="0.25">
      <c r="A70" s="17" t="s">
        <v>31</v>
      </c>
      <c r="B70" s="17" t="s">
        <v>69</v>
      </c>
      <c r="C70" s="17" t="s">
        <v>70</v>
      </c>
      <c r="D70" s="17"/>
      <c r="E70" s="17" t="s">
        <v>1223</v>
      </c>
      <c r="F70" s="17"/>
      <c r="G70" s="17"/>
      <c r="H70" s="17" t="s">
        <v>32</v>
      </c>
      <c r="I70" s="17" t="s">
        <v>73</v>
      </c>
      <c r="J70" s="17" t="s">
        <v>55</v>
      </c>
      <c r="K70" s="18">
        <v>247.2</v>
      </c>
      <c r="L70" s="17" t="s">
        <v>74</v>
      </c>
      <c r="M70" s="19">
        <v>46066</v>
      </c>
      <c r="N70" s="19">
        <v>46784</v>
      </c>
      <c r="O70" s="17" t="s">
        <v>830</v>
      </c>
    </row>
    <row r="71" spans="1:15" x14ac:dyDescent="0.25">
      <c r="A71" s="17" t="s">
        <v>551</v>
      </c>
      <c r="B71" s="17" t="s">
        <v>69</v>
      </c>
      <c r="C71" s="17" t="s">
        <v>70</v>
      </c>
      <c r="D71" s="17"/>
      <c r="E71" s="17" t="s">
        <v>554</v>
      </c>
      <c r="F71" s="17"/>
      <c r="G71" s="17"/>
      <c r="H71" s="17" t="s">
        <v>553</v>
      </c>
      <c r="I71" s="17" t="s">
        <v>73</v>
      </c>
      <c r="J71" s="17" t="s">
        <v>55</v>
      </c>
      <c r="K71" s="18">
        <v>164.1</v>
      </c>
      <c r="L71" s="17" t="s">
        <v>74</v>
      </c>
      <c r="M71" s="19">
        <v>46017</v>
      </c>
      <c r="N71" s="19">
        <v>46720</v>
      </c>
      <c r="O71" s="17" t="s">
        <v>830</v>
      </c>
    </row>
    <row r="72" spans="1:15" x14ac:dyDescent="0.25">
      <c r="A72" s="17" t="s">
        <v>563</v>
      </c>
      <c r="B72" s="17" t="s">
        <v>69</v>
      </c>
      <c r="C72" s="17" t="s">
        <v>70</v>
      </c>
      <c r="D72" s="17"/>
      <c r="E72" s="17" t="s">
        <v>567</v>
      </c>
      <c r="F72" s="17"/>
      <c r="G72" s="17"/>
      <c r="H72" s="17" t="s">
        <v>565</v>
      </c>
      <c r="I72" s="17" t="s">
        <v>73</v>
      </c>
      <c r="J72" s="17" t="s">
        <v>55</v>
      </c>
      <c r="K72" s="18">
        <v>21.15</v>
      </c>
      <c r="L72" s="17" t="s">
        <v>74</v>
      </c>
      <c r="M72" s="19">
        <v>45974</v>
      </c>
      <c r="N72" s="19">
        <v>46681</v>
      </c>
      <c r="O72" s="17" t="s">
        <v>830</v>
      </c>
    </row>
    <row r="73" spans="1:15" x14ac:dyDescent="0.25">
      <c r="A73" s="17" t="s">
        <v>571</v>
      </c>
      <c r="B73" s="17" t="s">
        <v>69</v>
      </c>
      <c r="C73" s="17" t="s">
        <v>70</v>
      </c>
      <c r="D73" s="17"/>
      <c r="E73" s="17" t="s">
        <v>572</v>
      </c>
      <c r="F73" s="17"/>
      <c r="G73" s="17"/>
      <c r="H73" s="17" t="s">
        <v>573</v>
      </c>
      <c r="I73" s="17" t="s">
        <v>73</v>
      </c>
      <c r="J73" s="17" t="s">
        <v>55</v>
      </c>
      <c r="K73" s="18">
        <v>0.9</v>
      </c>
      <c r="L73" s="17" t="s">
        <v>74</v>
      </c>
      <c r="M73" s="19">
        <v>46000</v>
      </c>
      <c r="N73" s="19">
        <v>46707</v>
      </c>
      <c r="O73" s="17" t="s">
        <v>830</v>
      </c>
    </row>
    <row r="74" spans="1:15" x14ac:dyDescent="0.25">
      <c r="A74" s="17" t="s">
        <v>588</v>
      </c>
      <c r="B74" s="17" t="s">
        <v>69</v>
      </c>
      <c r="C74" s="17" t="s">
        <v>70</v>
      </c>
      <c r="D74" s="17"/>
      <c r="E74" s="17" t="s">
        <v>592</v>
      </c>
      <c r="F74" s="17"/>
      <c r="G74" s="17"/>
      <c r="H74" s="17" t="s">
        <v>590</v>
      </c>
      <c r="I74" s="17" t="s">
        <v>73</v>
      </c>
      <c r="J74" s="17" t="s">
        <v>55</v>
      </c>
      <c r="K74" s="18">
        <v>262.35000000000002</v>
      </c>
      <c r="L74" s="17" t="s">
        <v>74</v>
      </c>
      <c r="M74" s="19">
        <v>46008</v>
      </c>
      <c r="N74" s="19">
        <v>46720</v>
      </c>
      <c r="O74" s="17" t="s">
        <v>830</v>
      </c>
    </row>
    <row r="75" spans="1:15" x14ac:dyDescent="0.25">
      <c r="A75" s="17" t="s">
        <v>49</v>
      </c>
      <c r="B75" s="17" t="s">
        <v>69</v>
      </c>
      <c r="C75" s="17" t="s">
        <v>70</v>
      </c>
      <c r="D75" s="17"/>
      <c r="E75" s="17" t="s">
        <v>1271</v>
      </c>
      <c r="F75" s="17"/>
      <c r="G75" s="17"/>
      <c r="H75" s="17" t="s">
        <v>44</v>
      </c>
      <c r="I75" s="17" t="s">
        <v>73</v>
      </c>
      <c r="J75" s="17" t="s">
        <v>55</v>
      </c>
      <c r="K75" s="18">
        <v>243.15</v>
      </c>
      <c r="L75" s="17" t="s">
        <v>74</v>
      </c>
      <c r="M75" s="19">
        <v>46072</v>
      </c>
      <c r="N75" s="19">
        <v>46783</v>
      </c>
      <c r="O75" s="17" t="s">
        <v>830</v>
      </c>
    </row>
    <row r="76" spans="1:15" x14ac:dyDescent="0.25">
      <c r="A76" s="17" t="s">
        <v>42</v>
      </c>
      <c r="B76" s="17" t="s">
        <v>69</v>
      </c>
      <c r="C76" s="17" t="s">
        <v>70</v>
      </c>
      <c r="D76" s="17"/>
      <c r="E76" s="17" t="s">
        <v>1224</v>
      </c>
      <c r="F76" s="17"/>
      <c r="G76" s="17"/>
      <c r="H76" s="17" t="s">
        <v>44</v>
      </c>
      <c r="I76" s="17" t="s">
        <v>73</v>
      </c>
      <c r="J76" s="17" t="s">
        <v>55</v>
      </c>
      <c r="K76" s="18">
        <v>267.83999999999997</v>
      </c>
      <c r="L76" s="17" t="s">
        <v>74</v>
      </c>
      <c r="M76" s="19">
        <v>46065</v>
      </c>
      <c r="N76" s="19">
        <v>46771</v>
      </c>
      <c r="O76" s="17" t="s">
        <v>830</v>
      </c>
    </row>
    <row r="77" spans="1:15" x14ac:dyDescent="0.25">
      <c r="A77" s="17" t="s">
        <v>42</v>
      </c>
      <c r="B77" s="17" t="s">
        <v>69</v>
      </c>
      <c r="C77" s="17" t="s">
        <v>70</v>
      </c>
      <c r="D77" s="17"/>
      <c r="E77" s="17" t="s">
        <v>1225</v>
      </c>
      <c r="F77" s="17"/>
      <c r="G77" s="17"/>
      <c r="H77" s="17" t="s">
        <v>44</v>
      </c>
      <c r="I77" s="17" t="s">
        <v>73</v>
      </c>
      <c r="J77" s="17" t="s">
        <v>55</v>
      </c>
      <c r="K77" s="18">
        <v>259.92</v>
      </c>
      <c r="L77" s="17" t="s">
        <v>74</v>
      </c>
      <c r="M77" s="19">
        <v>46062</v>
      </c>
      <c r="N77" s="19">
        <v>46771</v>
      </c>
      <c r="O77" s="17" t="s">
        <v>830</v>
      </c>
    </row>
    <row r="78" spans="1:15" x14ac:dyDescent="0.25">
      <c r="A78" s="17" t="s">
        <v>42</v>
      </c>
      <c r="B78" s="17" t="s">
        <v>69</v>
      </c>
      <c r="C78" s="17" t="s">
        <v>70</v>
      </c>
      <c r="D78" s="17"/>
      <c r="E78" s="17" t="s">
        <v>622</v>
      </c>
      <c r="F78" s="17"/>
      <c r="G78" s="17"/>
      <c r="H78" s="17" t="s">
        <v>44</v>
      </c>
      <c r="I78" s="17" t="s">
        <v>73</v>
      </c>
      <c r="J78" s="17" t="s">
        <v>55</v>
      </c>
      <c r="K78" s="18">
        <v>281.88</v>
      </c>
      <c r="L78" s="17" t="s">
        <v>74</v>
      </c>
      <c r="M78" s="19">
        <v>46051</v>
      </c>
      <c r="N78" s="19">
        <v>46763</v>
      </c>
      <c r="O78" s="17" t="s">
        <v>830</v>
      </c>
    </row>
    <row r="79" spans="1:15" x14ac:dyDescent="0.25">
      <c r="A79" s="17" t="s">
        <v>623</v>
      </c>
      <c r="B79" s="17" t="s">
        <v>69</v>
      </c>
      <c r="C79" s="17" t="s">
        <v>70</v>
      </c>
      <c r="D79" s="17"/>
      <c r="E79" s="17" t="s">
        <v>1226</v>
      </c>
      <c r="F79" s="17"/>
      <c r="G79" s="17"/>
      <c r="H79" s="17" t="s">
        <v>44</v>
      </c>
      <c r="I79" s="17" t="s">
        <v>73</v>
      </c>
      <c r="J79" s="17" t="s">
        <v>55</v>
      </c>
      <c r="K79" s="18">
        <v>266.39999999999998</v>
      </c>
      <c r="L79" s="17" t="s">
        <v>74</v>
      </c>
      <c r="M79" s="19">
        <v>46065</v>
      </c>
      <c r="N79" s="19">
        <v>46771</v>
      </c>
      <c r="O79" s="17" t="s">
        <v>830</v>
      </c>
    </row>
    <row r="80" spans="1:15" x14ac:dyDescent="0.25">
      <c r="A80" s="17" t="s">
        <v>39</v>
      </c>
      <c r="B80" s="17" t="s">
        <v>69</v>
      </c>
      <c r="C80" s="17" t="s">
        <v>70</v>
      </c>
      <c r="D80" s="17"/>
      <c r="E80" s="17" t="s">
        <v>1228</v>
      </c>
      <c r="F80" s="17"/>
      <c r="G80" s="17"/>
      <c r="H80" s="17" t="s">
        <v>40</v>
      </c>
      <c r="I80" s="17" t="s">
        <v>73</v>
      </c>
      <c r="J80" s="17" t="s">
        <v>55</v>
      </c>
      <c r="K80" s="18">
        <v>241.2</v>
      </c>
      <c r="L80" s="17" t="s">
        <v>74</v>
      </c>
      <c r="M80" s="19">
        <v>46065</v>
      </c>
      <c r="N80" s="19">
        <v>46771</v>
      </c>
      <c r="O80" s="17" t="s">
        <v>830</v>
      </c>
    </row>
    <row r="81" spans="1:15" x14ac:dyDescent="0.25">
      <c r="A81" s="17" t="s">
        <v>39</v>
      </c>
      <c r="B81" s="17" t="s">
        <v>69</v>
      </c>
      <c r="C81" s="17" t="s">
        <v>70</v>
      </c>
      <c r="D81" s="17"/>
      <c r="E81" s="17" t="s">
        <v>54</v>
      </c>
      <c r="F81" s="17"/>
      <c r="G81" s="17"/>
      <c r="H81" s="17" t="s">
        <v>40</v>
      </c>
      <c r="I81" s="17" t="s">
        <v>73</v>
      </c>
      <c r="J81" s="17" t="s">
        <v>55</v>
      </c>
      <c r="K81" s="18">
        <v>1.08</v>
      </c>
      <c r="L81" s="17" t="s">
        <v>74</v>
      </c>
      <c r="M81" s="19">
        <v>45993</v>
      </c>
      <c r="N81" s="19">
        <v>46694</v>
      </c>
      <c r="O81" s="17" t="s">
        <v>830</v>
      </c>
    </row>
    <row r="82" spans="1:15" x14ac:dyDescent="0.25">
      <c r="A82" s="17" t="s">
        <v>39</v>
      </c>
      <c r="B82" s="17" t="s">
        <v>69</v>
      </c>
      <c r="C82" s="17" t="s">
        <v>70</v>
      </c>
      <c r="D82" s="17"/>
      <c r="E82" s="17" t="s">
        <v>644</v>
      </c>
      <c r="F82" s="17"/>
      <c r="G82" s="17"/>
      <c r="H82" s="17" t="s">
        <v>40</v>
      </c>
      <c r="I82" s="17" t="s">
        <v>73</v>
      </c>
      <c r="J82" s="17" t="s">
        <v>55</v>
      </c>
      <c r="K82" s="18">
        <v>254.88</v>
      </c>
      <c r="L82" s="17" t="s">
        <v>74</v>
      </c>
      <c r="M82" s="19">
        <v>46051</v>
      </c>
      <c r="N82" s="19">
        <v>46763</v>
      </c>
      <c r="O82" s="17" t="s">
        <v>830</v>
      </c>
    </row>
    <row r="83" spans="1:15" x14ac:dyDescent="0.25">
      <c r="A83" s="17" t="s">
        <v>645</v>
      </c>
      <c r="B83" s="17" t="s">
        <v>69</v>
      </c>
      <c r="C83" s="17" t="s">
        <v>70</v>
      </c>
      <c r="D83" s="17"/>
      <c r="E83" s="17" t="s">
        <v>1229</v>
      </c>
      <c r="F83" s="17"/>
      <c r="G83" s="17"/>
      <c r="H83" s="17" t="s">
        <v>40</v>
      </c>
      <c r="I83" s="17" t="s">
        <v>73</v>
      </c>
      <c r="J83" s="17" t="s">
        <v>55</v>
      </c>
      <c r="K83" s="18">
        <v>252</v>
      </c>
      <c r="L83" s="17" t="s">
        <v>74</v>
      </c>
      <c r="M83" s="19">
        <v>46065</v>
      </c>
      <c r="N83" s="19">
        <v>46771</v>
      </c>
      <c r="O83" s="17" t="s">
        <v>830</v>
      </c>
    </row>
    <row r="84" spans="1:15" x14ac:dyDescent="0.25">
      <c r="A84" s="17" t="s">
        <v>19</v>
      </c>
      <c r="B84" s="17" t="s">
        <v>69</v>
      </c>
      <c r="C84" s="17" t="s">
        <v>70</v>
      </c>
      <c r="D84" s="17"/>
      <c r="E84" s="17" t="s">
        <v>1230</v>
      </c>
      <c r="F84" s="17"/>
      <c r="G84" s="17"/>
      <c r="H84" s="17" t="s">
        <v>20</v>
      </c>
      <c r="I84" s="17" t="s">
        <v>73</v>
      </c>
      <c r="J84" s="17" t="s">
        <v>55</v>
      </c>
      <c r="K84" s="18">
        <v>236.25</v>
      </c>
      <c r="L84" s="17" t="s">
        <v>74</v>
      </c>
      <c r="M84" s="19">
        <v>46066</v>
      </c>
      <c r="N84" s="19">
        <v>46777</v>
      </c>
      <c r="O84" s="17" t="s">
        <v>830</v>
      </c>
    </row>
    <row r="85" spans="1:15" x14ac:dyDescent="0.25">
      <c r="A85" s="17" t="s">
        <v>34</v>
      </c>
      <c r="B85" s="17" t="s">
        <v>69</v>
      </c>
      <c r="C85" s="17" t="s">
        <v>70</v>
      </c>
      <c r="D85" s="17"/>
      <c r="E85" s="17" t="s">
        <v>1231</v>
      </c>
      <c r="F85" s="17"/>
      <c r="G85" s="17"/>
      <c r="H85" s="17" t="s">
        <v>35</v>
      </c>
      <c r="I85" s="17" t="s">
        <v>73</v>
      </c>
      <c r="J85" s="17" t="s">
        <v>55</v>
      </c>
      <c r="K85" s="18">
        <v>172.05</v>
      </c>
      <c r="L85" s="17" t="s">
        <v>74</v>
      </c>
      <c r="M85" s="19">
        <v>46065</v>
      </c>
      <c r="N85" s="19">
        <v>46763</v>
      </c>
      <c r="O85" s="17" t="s">
        <v>830</v>
      </c>
    </row>
    <row r="86" spans="1:15" x14ac:dyDescent="0.25">
      <c r="A86" s="17" t="s">
        <v>695</v>
      </c>
      <c r="B86" s="17" t="s">
        <v>69</v>
      </c>
      <c r="C86" s="17" t="s">
        <v>70</v>
      </c>
      <c r="D86" s="17"/>
      <c r="E86" s="17" t="s">
        <v>696</v>
      </c>
      <c r="F86" s="17"/>
      <c r="G86" s="17"/>
      <c r="H86" s="17" t="s">
        <v>697</v>
      </c>
      <c r="I86" s="17" t="s">
        <v>73</v>
      </c>
      <c r="J86" s="17" t="s">
        <v>55</v>
      </c>
      <c r="K86" s="18">
        <v>36.299999999999997</v>
      </c>
      <c r="L86" s="17" t="s">
        <v>74</v>
      </c>
      <c r="M86" s="19">
        <v>45821</v>
      </c>
      <c r="N86" s="19">
        <v>46525</v>
      </c>
      <c r="O86" s="17" t="s">
        <v>830</v>
      </c>
    </row>
    <row r="87" spans="1:15" x14ac:dyDescent="0.25">
      <c r="A87" s="17" t="s">
        <v>712</v>
      </c>
      <c r="B87" s="17" t="s">
        <v>69</v>
      </c>
      <c r="C87" s="17" t="s">
        <v>70</v>
      </c>
      <c r="D87" s="17"/>
      <c r="E87" s="17" t="s">
        <v>1272</v>
      </c>
      <c r="F87" s="17"/>
      <c r="G87" s="17"/>
      <c r="H87" s="17" t="s">
        <v>714</v>
      </c>
      <c r="I87" s="17" t="s">
        <v>73</v>
      </c>
      <c r="J87" s="17" t="s">
        <v>55</v>
      </c>
      <c r="K87" s="18">
        <v>197.64</v>
      </c>
      <c r="L87" s="17" t="s">
        <v>74</v>
      </c>
      <c r="M87" s="19">
        <v>46073</v>
      </c>
      <c r="N87" s="19">
        <v>46791</v>
      </c>
      <c r="O87" s="17" t="s">
        <v>830</v>
      </c>
    </row>
    <row r="88" spans="1:15" x14ac:dyDescent="0.25">
      <c r="A88" s="17" t="s">
        <v>1130</v>
      </c>
      <c r="B88" s="17" t="s">
        <v>69</v>
      </c>
      <c r="C88" s="17" t="s">
        <v>70</v>
      </c>
      <c r="D88" s="17"/>
      <c r="E88" s="17" t="s">
        <v>1273</v>
      </c>
      <c r="F88" s="17"/>
      <c r="G88" s="17"/>
      <c r="H88" s="17" t="s">
        <v>1131</v>
      </c>
      <c r="I88" s="17" t="s">
        <v>73</v>
      </c>
      <c r="J88" s="17" t="s">
        <v>55</v>
      </c>
      <c r="K88" s="18">
        <v>41.4</v>
      </c>
      <c r="L88" s="17" t="s">
        <v>74</v>
      </c>
      <c r="M88" s="19">
        <v>45910</v>
      </c>
      <c r="N88" s="19">
        <v>46258</v>
      </c>
      <c r="O88" s="17" t="s">
        <v>830</v>
      </c>
    </row>
    <row r="89" spans="1:15" x14ac:dyDescent="0.25">
      <c r="A89" s="17" t="s">
        <v>729</v>
      </c>
      <c r="B89" s="17" t="s">
        <v>69</v>
      </c>
      <c r="C89" s="17" t="s">
        <v>70</v>
      </c>
      <c r="D89" s="17"/>
      <c r="E89" s="17" t="s">
        <v>1274</v>
      </c>
      <c r="F89" s="17"/>
      <c r="G89" s="17"/>
      <c r="H89" s="17" t="s">
        <v>731</v>
      </c>
      <c r="I89" s="17" t="s">
        <v>73</v>
      </c>
      <c r="J89" s="17" t="s">
        <v>55</v>
      </c>
      <c r="K89" s="18">
        <v>292.32</v>
      </c>
      <c r="L89" s="17" t="s">
        <v>74</v>
      </c>
      <c r="M89" s="19">
        <v>46072</v>
      </c>
      <c r="N89" s="19">
        <v>46785</v>
      </c>
      <c r="O89" s="17" t="s">
        <v>830</v>
      </c>
    </row>
    <row r="90" spans="1:15" x14ac:dyDescent="0.25">
      <c r="A90" s="17" t="s">
        <v>869</v>
      </c>
      <c r="B90" s="17" t="s">
        <v>69</v>
      </c>
      <c r="C90" s="17" t="s">
        <v>70</v>
      </c>
      <c r="D90" s="17"/>
      <c r="E90" s="17" t="s">
        <v>1148</v>
      </c>
      <c r="F90" s="17"/>
      <c r="G90" s="17"/>
      <c r="H90" s="17" t="s">
        <v>870</v>
      </c>
      <c r="I90" s="17" t="s">
        <v>73</v>
      </c>
      <c r="J90" s="17" t="s">
        <v>55</v>
      </c>
      <c r="K90" s="18">
        <v>19.344000000000001</v>
      </c>
      <c r="L90" s="17" t="s">
        <v>74</v>
      </c>
      <c r="M90" s="19">
        <v>46053</v>
      </c>
      <c r="N90" s="19">
        <v>46410</v>
      </c>
      <c r="O90" s="17" t="s">
        <v>830</v>
      </c>
    </row>
    <row r="91" spans="1:15" x14ac:dyDescent="0.25">
      <c r="A91" s="17" t="s">
        <v>737</v>
      </c>
      <c r="B91" s="17" t="s">
        <v>69</v>
      </c>
      <c r="C91" s="17" t="s">
        <v>70</v>
      </c>
      <c r="D91" s="17"/>
      <c r="E91" s="17" t="s">
        <v>1133</v>
      </c>
      <c r="F91" s="17"/>
      <c r="G91" s="17"/>
      <c r="H91" s="17" t="s">
        <v>739</v>
      </c>
      <c r="I91" s="17" t="s">
        <v>73</v>
      </c>
      <c r="J91" s="17" t="s">
        <v>55</v>
      </c>
      <c r="K91" s="18">
        <v>0.72</v>
      </c>
      <c r="L91" s="17" t="s">
        <v>74</v>
      </c>
      <c r="M91" s="19">
        <v>45988</v>
      </c>
      <c r="N91" s="19">
        <v>46706</v>
      </c>
      <c r="O91" s="17" t="s">
        <v>830</v>
      </c>
    </row>
    <row r="92" spans="1:15" x14ac:dyDescent="0.25">
      <c r="A92" s="17" t="s">
        <v>1136</v>
      </c>
      <c r="B92" s="17" t="s">
        <v>69</v>
      </c>
      <c r="C92" s="17" t="s">
        <v>70</v>
      </c>
      <c r="D92" s="17"/>
      <c r="E92" s="17" t="s">
        <v>1236</v>
      </c>
      <c r="F92" s="17"/>
      <c r="G92" s="17"/>
      <c r="H92" s="17" t="s">
        <v>1137</v>
      </c>
      <c r="I92" s="17" t="s">
        <v>73</v>
      </c>
      <c r="J92" s="17" t="s">
        <v>55</v>
      </c>
      <c r="K92" s="18">
        <v>200.16</v>
      </c>
      <c r="L92" s="17" t="s">
        <v>74</v>
      </c>
      <c r="M92" s="19">
        <v>46062</v>
      </c>
      <c r="N92" s="19">
        <v>46772</v>
      </c>
      <c r="O92" s="17" t="s">
        <v>830</v>
      </c>
    </row>
    <row r="93" spans="1:15" x14ac:dyDescent="0.25">
      <c r="A93" s="17" t="s">
        <v>757</v>
      </c>
      <c r="B93" s="17" t="s">
        <v>69</v>
      </c>
      <c r="C93" s="17" t="s">
        <v>70</v>
      </c>
      <c r="D93" s="17"/>
      <c r="E93" s="17" t="s">
        <v>1238</v>
      </c>
      <c r="F93" s="17"/>
      <c r="G93" s="17"/>
      <c r="H93" s="17" t="s">
        <v>758</v>
      </c>
      <c r="I93" s="17" t="s">
        <v>73</v>
      </c>
      <c r="J93" s="17" t="s">
        <v>55</v>
      </c>
      <c r="K93" s="18">
        <v>153</v>
      </c>
      <c r="L93" s="17" t="s">
        <v>74</v>
      </c>
      <c r="M93" s="19">
        <v>46065</v>
      </c>
      <c r="N93" s="19">
        <v>46782</v>
      </c>
      <c r="O93" s="17" t="s">
        <v>830</v>
      </c>
    </row>
    <row r="94" spans="1:15" x14ac:dyDescent="0.25">
      <c r="A94" s="17" t="s">
        <v>776</v>
      </c>
      <c r="B94" s="17" t="s">
        <v>69</v>
      </c>
      <c r="C94" s="17" t="s">
        <v>70</v>
      </c>
      <c r="D94" s="17"/>
      <c r="E94" s="17" t="s">
        <v>777</v>
      </c>
      <c r="F94" s="17"/>
      <c r="G94" s="17"/>
      <c r="H94" s="17" t="s">
        <v>778</v>
      </c>
      <c r="I94" s="17" t="s">
        <v>73</v>
      </c>
      <c r="J94" s="17" t="s">
        <v>55</v>
      </c>
      <c r="K94" s="18">
        <v>41.664000000000001</v>
      </c>
      <c r="L94" s="17" t="s">
        <v>74</v>
      </c>
      <c r="M94" s="19">
        <v>45996</v>
      </c>
      <c r="N94" s="19">
        <v>46712</v>
      </c>
      <c r="O94" s="17" t="s">
        <v>830</v>
      </c>
    </row>
    <row r="95" spans="1:15" x14ac:dyDescent="0.25">
      <c r="A95" s="17" t="s">
        <v>779</v>
      </c>
      <c r="B95" s="17" t="s">
        <v>69</v>
      </c>
      <c r="C95" s="17" t="s">
        <v>70</v>
      </c>
      <c r="D95" s="17"/>
      <c r="E95" s="17" t="s">
        <v>1119</v>
      </c>
      <c r="F95" s="17"/>
      <c r="G95" s="17"/>
      <c r="H95" s="17" t="s">
        <v>781</v>
      </c>
      <c r="I95" s="17" t="s">
        <v>73</v>
      </c>
      <c r="J95" s="17" t="s">
        <v>55</v>
      </c>
      <c r="K95" s="18">
        <v>0.36</v>
      </c>
      <c r="L95" s="17" t="s">
        <v>74</v>
      </c>
      <c r="M95" s="19">
        <v>46031</v>
      </c>
      <c r="N95" s="19">
        <v>46740</v>
      </c>
      <c r="O95" s="17" t="s">
        <v>830</v>
      </c>
    </row>
    <row r="96" spans="1:15" x14ac:dyDescent="0.25">
      <c r="A96" s="17" t="s">
        <v>796</v>
      </c>
      <c r="B96" s="17" t="s">
        <v>69</v>
      </c>
      <c r="C96" s="17" t="s">
        <v>70</v>
      </c>
      <c r="D96" s="17"/>
      <c r="E96" s="17" t="s">
        <v>1275</v>
      </c>
      <c r="F96" s="17"/>
      <c r="G96" s="17"/>
      <c r="H96" s="17" t="s">
        <v>798</v>
      </c>
      <c r="I96" s="17" t="s">
        <v>73</v>
      </c>
      <c r="J96" s="17" t="s">
        <v>55</v>
      </c>
      <c r="K96" s="18">
        <v>96.48</v>
      </c>
      <c r="L96" s="17" t="s">
        <v>74</v>
      </c>
      <c r="M96" s="19">
        <v>46073</v>
      </c>
      <c r="N96" s="19">
        <v>46791</v>
      </c>
      <c r="O96" s="17" t="s">
        <v>830</v>
      </c>
    </row>
    <row r="97" spans="1:15" x14ac:dyDescent="0.25">
      <c r="A97" s="17" t="s">
        <v>807</v>
      </c>
      <c r="B97" s="17" t="s">
        <v>69</v>
      </c>
      <c r="C97" s="17" t="s">
        <v>70</v>
      </c>
      <c r="D97" s="17"/>
      <c r="E97" s="17" t="s">
        <v>1276</v>
      </c>
      <c r="F97" s="17"/>
      <c r="G97" s="17"/>
      <c r="H97" s="17" t="s">
        <v>809</v>
      </c>
      <c r="I97" s="17" t="s">
        <v>73</v>
      </c>
      <c r="J97" s="17" t="s">
        <v>55</v>
      </c>
      <c r="K97" s="18">
        <v>27.06</v>
      </c>
      <c r="L97" s="17" t="s">
        <v>74</v>
      </c>
      <c r="M97" s="19">
        <v>46073</v>
      </c>
      <c r="N97" s="19">
        <v>46432</v>
      </c>
      <c r="O97" s="17" t="s">
        <v>830</v>
      </c>
    </row>
    <row r="98" spans="1:15" x14ac:dyDescent="0.25">
      <c r="A98" s="17" t="s">
        <v>179</v>
      </c>
      <c r="B98" s="17" t="s">
        <v>69</v>
      </c>
      <c r="C98" s="17" t="s">
        <v>70</v>
      </c>
      <c r="D98" s="17"/>
      <c r="E98" s="17" t="s">
        <v>180</v>
      </c>
      <c r="F98" s="17"/>
      <c r="G98" s="17"/>
      <c r="H98" s="17" t="s">
        <v>181</v>
      </c>
      <c r="I98" s="17" t="s">
        <v>73</v>
      </c>
      <c r="J98" s="17" t="s">
        <v>182</v>
      </c>
      <c r="K98" s="18">
        <v>0.72</v>
      </c>
      <c r="L98" s="17" t="s">
        <v>74</v>
      </c>
      <c r="M98" s="19">
        <v>45674</v>
      </c>
      <c r="N98" s="19">
        <v>46454</v>
      </c>
      <c r="O98" s="17" t="s">
        <v>830</v>
      </c>
    </row>
    <row r="99" spans="1:15" x14ac:dyDescent="0.25">
      <c r="A99" s="17" t="s">
        <v>86</v>
      </c>
      <c r="B99" s="17" t="s">
        <v>69</v>
      </c>
      <c r="C99" s="17" t="s">
        <v>70</v>
      </c>
      <c r="D99" s="17"/>
      <c r="E99" s="17" t="s">
        <v>1190</v>
      </c>
      <c r="F99" s="17"/>
      <c r="G99" s="17"/>
      <c r="H99" s="17" t="s">
        <v>87</v>
      </c>
      <c r="I99" s="17" t="s">
        <v>73</v>
      </c>
      <c r="J99" s="17" t="s">
        <v>829</v>
      </c>
      <c r="K99" s="18">
        <v>132.47999999999999</v>
      </c>
      <c r="L99" s="17" t="s">
        <v>74</v>
      </c>
      <c r="M99" s="19">
        <v>46057</v>
      </c>
      <c r="N99" s="19">
        <v>47131</v>
      </c>
      <c r="O99" s="17" t="s">
        <v>830</v>
      </c>
    </row>
    <row r="100" spans="1:15" x14ac:dyDescent="0.25">
      <c r="A100" s="17" t="s">
        <v>976</v>
      </c>
      <c r="B100" s="17" t="s">
        <v>69</v>
      </c>
      <c r="C100" s="17" t="s">
        <v>70</v>
      </c>
      <c r="D100" s="17"/>
      <c r="E100" s="17" t="s">
        <v>1188</v>
      </c>
      <c r="F100" s="17"/>
      <c r="G100" s="17"/>
      <c r="H100" s="17" t="s">
        <v>978</v>
      </c>
      <c r="I100" s="17" t="s">
        <v>73</v>
      </c>
      <c r="J100" s="17" t="s">
        <v>829</v>
      </c>
      <c r="K100" s="18">
        <v>38.880000000000003</v>
      </c>
      <c r="L100" s="17" t="s">
        <v>74</v>
      </c>
      <c r="M100" s="19">
        <v>46058</v>
      </c>
      <c r="N100" s="19">
        <v>47131</v>
      </c>
      <c r="O100" s="17" t="s">
        <v>830</v>
      </c>
    </row>
    <row r="101" spans="1:15" x14ac:dyDescent="0.25">
      <c r="A101" s="17" t="s">
        <v>104</v>
      </c>
      <c r="B101" s="17" t="s">
        <v>69</v>
      </c>
      <c r="C101" s="17" t="s">
        <v>70</v>
      </c>
      <c r="D101" s="17"/>
      <c r="E101" s="17" t="s">
        <v>105</v>
      </c>
      <c r="F101" s="17"/>
      <c r="G101" s="17"/>
      <c r="H101" s="17" t="s">
        <v>106</v>
      </c>
      <c r="I101" s="17" t="s">
        <v>73</v>
      </c>
      <c r="J101" s="17" t="s">
        <v>829</v>
      </c>
      <c r="K101" s="18">
        <v>90.6</v>
      </c>
      <c r="L101" s="17" t="s">
        <v>74</v>
      </c>
      <c r="M101" s="19">
        <v>46048</v>
      </c>
      <c r="N101" s="19">
        <v>47118</v>
      </c>
      <c r="O101" s="17" t="s">
        <v>830</v>
      </c>
    </row>
    <row r="102" spans="1:15" x14ac:dyDescent="0.25">
      <c r="A102" s="17" t="s">
        <v>115</v>
      </c>
      <c r="B102" s="17" t="s">
        <v>69</v>
      </c>
      <c r="C102" s="17" t="s">
        <v>70</v>
      </c>
      <c r="D102" s="17"/>
      <c r="E102" s="17" t="s">
        <v>116</v>
      </c>
      <c r="F102" s="17"/>
      <c r="G102" s="17"/>
      <c r="H102" s="17" t="s">
        <v>117</v>
      </c>
      <c r="I102" s="17" t="s">
        <v>73</v>
      </c>
      <c r="J102" s="17" t="s">
        <v>829</v>
      </c>
      <c r="K102" s="18">
        <v>92.52</v>
      </c>
      <c r="L102" s="17" t="s">
        <v>74</v>
      </c>
      <c r="M102" s="19">
        <v>46044</v>
      </c>
      <c r="N102" s="19">
        <v>47118</v>
      </c>
      <c r="O102" s="17" t="s">
        <v>830</v>
      </c>
    </row>
    <row r="103" spans="1:15" x14ac:dyDescent="0.25">
      <c r="A103" s="17" t="s">
        <v>127</v>
      </c>
      <c r="B103" s="17" t="s">
        <v>69</v>
      </c>
      <c r="C103" s="17" t="s">
        <v>70</v>
      </c>
      <c r="D103" s="17"/>
      <c r="E103" s="17" t="s">
        <v>128</v>
      </c>
      <c r="F103" s="17"/>
      <c r="G103" s="17"/>
      <c r="H103" s="17" t="s">
        <v>129</v>
      </c>
      <c r="I103" s="17" t="s">
        <v>73</v>
      </c>
      <c r="J103" s="17" t="s">
        <v>829</v>
      </c>
      <c r="K103" s="18">
        <v>23.04</v>
      </c>
      <c r="L103" s="17" t="s">
        <v>74</v>
      </c>
      <c r="M103" s="19">
        <v>46004</v>
      </c>
      <c r="N103" s="19">
        <v>47075</v>
      </c>
      <c r="O103" s="17" t="s">
        <v>830</v>
      </c>
    </row>
    <row r="104" spans="1:15" x14ac:dyDescent="0.25">
      <c r="A104" s="17" t="s">
        <v>36</v>
      </c>
      <c r="B104" s="17" t="s">
        <v>69</v>
      </c>
      <c r="C104" s="17" t="s">
        <v>70</v>
      </c>
      <c r="D104" s="17"/>
      <c r="E104" s="17" t="s">
        <v>431</v>
      </c>
      <c r="F104" s="17"/>
      <c r="G104" s="17"/>
      <c r="H104" s="17" t="s">
        <v>38</v>
      </c>
      <c r="I104" s="17" t="s">
        <v>73</v>
      </c>
      <c r="J104" s="17" t="s">
        <v>829</v>
      </c>
      <c r="K104" s="18">
        <v>250.5</v>
      </c>
      <c r="L104" s="17" t="s">
        <v>74</v>
      </c>
      <c r="M104" s="19">
        <v>46013</v>
      </c>
      <c r="N104" s="19">
        <v>46720</v>
      </c>
      <c r="O104" s="17" t="s">
        <v>830</v>
      </c>
    </row>
    <row r="105" spans="1:15" x14ac:dyDescent="0.25">
      <c r="A105" s="17" t="s">
        <v>810</v>
      </c>
      <c r="B105" s="17" t="s">
        <v>69</v>
      </c>
      <c r="C105" s="17" t="s">
        <v>70</v>
      </c>
      <c r="D105" s="17"/>
      <c r="E105" s="17" t="s">
        <v>811</v>
      </c>
      <c r="F105" s="17"/>
      <c r="G105" s="17"/>
      <c r="H105" s="17" t="s">
        <v>812</v>
      </c>
      <c r="I105" s="17" t="s">
        <v>73</v>
      </c>
      <c r="J105" s="17" t="s">
        <v>829</v>
      </c>
      <c r="K105" s="18">
        <v>27.192</v>
      </c>
      <c r="L105" s="17" t="s">
        <v>74</v>
      </c>
      <c r="M105" s="19">
        <v>45803</v>
      </c>
      <c r="N105" s="19">
        <v>46152</v>
      </c>
      <c r="O105" s="17" t="s">
        <v>830</v>
      </c>
    </row>
    <row r="106" spans="1:15" x14ac:dyDescent="0.25">
      <c r="A106" s="17" t="s">
        <v>13</v>
      </c>
      <c r="B106" s="17" t="s">
        <v>69</v>
      </c>
      <c r="C106" s="17" t="s">
        <v>70</v>
      </c>
      <c r="D106" s="17"/>
      <c r="E106" s="17" t="s">
        <v>499</v>
      </c>
      <c r="F106" s="17"/>
      <c r="G106" s="17"/>
      <c r="H106" s="17" t="s">
        <v>15</v>
      </c>
      <c r="I106" s="17" t="s">
        <v>73</v>
      </c>
      <c r="J106" s="17" t="s">
        <v>406</v>
      </c>
      <c r="K106" s="18">
        <v>106.35</v>
      </c>
      <c r="L106" s="17" t="s">
        <v>74</v>
      </c>
      <c r="M106" s="19">
        <v>46001</v>
      </c>
      <c r="N106" s="19">
        <v>46712</v>
      </c>
      <c r="O106" s="17" t="s">
        <v>830</v>
      </c>
    </row>
    <row r="107" spans="1:15" x14ac:dyDescent="0.25">
      <c r="A107" s="17" t="s">
        <v>2</v>
      </c>
      <c r="B107" s="17" t="s">
        <v>69</v>
      </c>
      <c r="C107" s="17" t="s">
        <v>70</v>
      </c>
      <c r="D107" s="17"/>
      <c r="E107" s="17" t="s">
        <v>637</v>
      </c>
      <c r="F107" s="17"/>
      <c r="G107" s="17"/>
      <c r="H107" s="17" t="s">
        <v>3</v>
      </c>
      <c r="I107" s="17" t="s">
        <v>73</v>
      </c>
      <c r="J107" s="17" t="s">
        <v>406</v>
      </c>
      <c r="K107" s="18">
        <v>111.9</v>
      </c>
      <c r="L107" s="17" t="s">
        <v>74</v>
      </c>
      <c r="M107" s="19">
        <v>46006</v>
      </c>
      <c r="N107" s="19">
        <v>46720</v>
      </c>
      <c r="O107" s="17" t="s">
        <v>830</v>
      </c>
    </row>
    <row r="108" spans="1:15" x14ac:dyDescent="0.25">
      <c r="A108" s="17" t="s">
        <v>45</v>
      </c>
      <c r="B108" s="17" t="s">
        <v>69</v>
      </c>
      <c r="C108" s="17" t="s">
        <v>70</v>
      </c>
      <c r="D108" s="17"/>
      <c r="E108" s="17" t="s">
        <v>392</v>
      </c>
      <c r="F108" s="17"/>
      <c r="G108" s="17"/>
      <c r="H108" s="17" t="s">
        <v>47</v>
      </c>
      <c r="I108" s="17" t="s">
        <v>73</v>
      </c>
      <c r="J108" s="17" t="s">
        <v>50</v>
      </c>
      <c r="K108" s="18">
        <v>96</v>
      </c>
      <c r="L108" s="17" t="s">
        <v>74</v>
      </c>
      <c r="M108" s="19">
        <v>46000</v>
      </c>
      <c r="N108" s="19">
        <v>46712</v>
      </c>
      <c r="O108" s="17" t="s">
        <v>830</v>
      </c>
    </row>
    <row r="109" spans="1:15" x14ac:dyDescent="0.25">
      <c r="A109" s="17" t="s">
        <v>10</v>
      </c>
      <c r="B109" s="17" t="s">
        <v>69</v>
      </c>
      <c r="C109" s="17" t="s">
        <v>70</v>
      </c>
      <c r="D109" s="17"/>
      <c r="E109" s="17" t="s">
        <v>410</v>
      </c>
      <c r="F109" s="17"/>
      <c r="G109" s="17"/>
      <c r="H109" s="17" t="s">
        <v>11</v>
      </c>
      <c r="I109" s="17" t="s">
        <v>73</v>
      </c>
      <c r="J109" s="17" t="s">
        <v>50</v>
      </c>
      <c r="K109" s="18">
        <v>111.6</v>
      </c>
      <c r="L109" s="17" t="s">
        <v>74</v>
      </c>
      <c r="M109" s="19">
        <v>46038</v>
      </c>
      <c r="N109" s="19">
        <v>46755</v>
      </c>
      <c r="O109" s="17" t="s">
        <v>830</v>
      </c>
    </row>
    <row r="110" spans="1:15" x14ac:dyDescent="0.25">
      <c r="A110" s="17" t="s">
        <v>2</v>
      </c>
      <c r="B110" s="17" t="s">
        <v>69</v>
      </c>
      <c r="C110" s="17" t="s">
        <v>70</v>
      </c>
      <c r="D110" s="17"/>
      <c r="E110" s="17" t="s">
        <v>53</v>
      </c>
      <c r="F110" s="17"/>
      <c r="G110" s="17"/>
      <c r="H110" s="17" t="s">
        <v>3</v>
      </c>
      <c r="I110" s="17" t="s">
        <v>73</v>
      </c>
      <c r="J110" s="17" t="s">
        <v>50</v>
      </c>
      <c r="K110" s="18">
        <v>108</v>
      </c>
      <c r="L110" s="17" t="s">
        <v>74</v>
      </c>
      <c r="M110" s="19">
        <v>45993</v>
      </c>
      <c r="N110" s="19">
        <v>46707</v>
      </c>
      <c r="O110" s="17" t="s">
        <v>830</v>
      </c>
    </row>
    <row r="111" spans="1:15" x14ac:dyDescent="0.25">
      <c r="A111" s="17" t="s">
        <v>22</v>
      </c>
      <c r="B111" s="17" t="s">
        <v>69</v>
      </c>
      <c r="C111" s="17" t="s">
        <v>70</v>
      </c>
      <c r="D111" s="17"/>
      <c r="E111" s="17" t="s">
        <v>344</v>
      </c>
      <c r="F111" s="17"/>
      <c r="G111" s="17"/>
      <c r="H111" s="17" t="s">
        <v>23</v>
      </c>
      <c r="I111" s="17" t="s">
        <v>73</v>
      </c>
      <c r="J111" s="17" t="s">
        <v>343</v>
      </c>
      <c r="K111" s="18">
        <v>111</v>
      </c>
      <c r="L111" s="17" t="s">
        <v>74</v>
      </c>
      <c r="M111" s="19">
        <v>46010</v>
      </c>
      <c r="N111" s="19">
        <v>46720</v>
      </c>
      <c r="O111" s="17" t="s">
        <v>830</v>
      </c>
    </row>
    <row r="112" spans="1:15" x14ac:dyDescent="0.25">
      <c r="A112" s="17" t="s">
        <v>2</v>
      </c>
      <c r="B112" s="17" t="s">
        <v>69</v>
      </c>
      <c r="C112" s="17" t="s">
        <v>70</v>
      </c>
      <c r="D112" s="17"/>
      <c r="E112" s="17" t="s">
        <v>637</v>
      </c>
      <c r="F112" s="17"/>
      <c r="G112" s="17"/>
      <c r="H112" s="17" t="s">
        <v>3</v>
      </c>
      <c r="I112" s="17" t="s">
        <v>73</v>
      </c>
      <c r="J112" s="17" t="s">
        <v>343</v>
      </c>
      <c r="K112" s="18">
        <v>108</v>
      </c>
      <c r="L112" s="17" t="s">
        <v>74</v>
      </c>
      <c r="M112" s="19">
        <v>46006</v>
      </c>
      <c r="N112" s="19">
        <v>46720</v>
      </c>
      <c r="O112" s="17" t="s">
        <v>830</v>
      </c>
    </row>
    <row r="113" spans="1:15" x14ac:dyDescent="0.25">
      <c r="A113" s="17" t="s">
        <v>19</v>
      </c>
      <c r="B113" s="17" t="s">
        <v>69</v>
      </c>
      <c r="C113" s="17" t="s">
        <v>70</v>
      </c>
      <c r="D113" s="17"/>
      <c r="E113" s="17" t="s">
        <v>1206</v>
      </c>
      <c r="F113" s="17"/>
      <c r="G113" s="17"/>
      <c r="H113" s="17" t="s">
        <v>20</v>
      </c>
      <c r="I113" s="17" t="s">
        <v>73</v>
      </c>
      <c r="J113" s="17" t="s">
        <v>343</v>
      </c>
      <c r="K113" s="18">
        <v>135.6</v>
      </c>
      <c r="L113" s="17" t="s">
        <v>74</v>
      </c>
      <c r="M113" s="19">
        <v>46058</v>
      </c>
      <c r="N113" s="19">
        <v>46712</v>
      </c>
      <c r="O113" s="17" t="s">
        <v>830</v>
      </c>
    </row>
    <row r="114" spans="1:15" x14ac:dyDescent="0.25">
      <c r="A114" s="17" t="s">
        <v>10</v>
      </c>
      <c r="B114" s="17" t="s">
        <v>69</v>
      </c>
      <c r="C114" s="17" t="s">
        <v>70</v>
      </c>
      <c r="D114" s="17"/>
      <c r="E114" s="17" t="s">
        <v>410</v>
      </c>
      <c r="F114" s="17"/>
      <c r="G114" s="17"/>
      <c r="H114" s="17" t="s">
        <v>11</v>
      </c>
      <c r="I114" s="17" t="s">
        <v>73</v>
      </c>
      <c r="J114" s="17" t="s">
        <v>604</v>
      </c>
      <c r="K114" s="18">
        <v>97.35</v>
      </c>
      <c r="L114" s="17" t="s">
        <v>74</v>
      </c>
      <c r="M114" s="19">
        <v>46038</v>
      </c>
      <c r="N114" s="19">
        <v>46755</v>
      </c>
      <c r="O114" s="17" t="s">
        <v>830</v>
      </c>
    </row>
    <row r="115" spans="1:15" x14ac:dyDescent="0.25">
      <c r="A115" s="17" t="s">
        <v>13</v>
      </c>
      <c r="B115" s="17" t="s">
        <v>69</v>
      </c>
      <c r="C115" s="17" t="s">
        <v>70</v>
      </c>
      <c r="D115" s="17"/>
      <c r="E115" s="17" t="s">
        <v>499</v>
      </c>
      <c r="F115" s="17"/>
      <c r="G115" s="17"/>
      <c r="H115" s="17" t="s">
        <v>15</v>
      </c>
      <c r="I115" s="17" t="s">
        <v>73</v>
      </c>
      <c r="J115" s="17" t="s">
        <v>604</v>
      </c>
      <c r="K115" s="18">
        <v>88.2</v>
      </c>
      <c r="L115" s="17" t="s">
        <v>74</v>
      </c>
      <c r="M115" s="19">
        <v>46001</v>
      </c>
      <c r="N115" s="19">
        <v>46712</v>
      </c>
      <c r="O115" s="17" t="s">
        <v>830</v>
      </c>
    </row>
    <row r="116" spans="1:15" x14ac:dyDescent="0.25">
      <c r="A116" s="17" t="s">
        <v>49</v>
      </c>
      <c r="B116" s="17" t="s">
        <v>69</v>
      </c>
      <c r="C116" s="17" t="s">
        <v>70</v>
      </c>
      <c r="D116" s="17"/>
      <c r="E116" s="17" t="s">
        <v>603</v>
      </c>
      <c r="F116" s="17"/>
      <c r="G116" s="17"/>
      <c r="H116" s="17" t="s">
        <v>44</v>
      </c>
      <c r="I116" s="17" t="s">
        <v>73</v>
      </c>
      <c r="J116" s="17" t="s">
        <v>437</v>
      </c>
      <c r="K116" s="18">
        <v>152.55000000000001</v>
      </c>
      <c r="L116" s="17" t="s">
        <v>74</v>
      </c>
      <c r="M116" s="19">
        <v>46008</v>
      </c>
      <c r="N116" s="19">
        <v>46720</v>
      </c>
      <c r="O116" s="17" t="s">
        <v>830</v>
      </c>
    </row>
    <row r="117" spans="1:15" x14ac:dyDescent="0.25">
      <c r="A117" s="17" t="s">
        <v>22</v>
      </c>
      <c r="B117" s="17" t="s">
        <v>69</v>
      </c>
      <c r="C117" s="17" t="s">
        <v>70</v>
      </c>
      <c r="D117" s="17"/>
      <c r="E117" s="17" t="s">
        <v>344</v>
      </c>
      <c r="F117" s="17"/>
      <c r="G117" s="17"/>
      <c r="H117" s="17" t="s">
        <v>23</v>
      </c>
      <c r="I117" s="17" t="s">
        <v>73</v>
      </c>
      <c r="J117" s="17" t="s">
        <v>342</v>
      </c>
      <c r="K117" s="18">
        <v>97.5</v>
      </c>
      <c r="L117" s="17" t="s">
        <v>74</v>
      </c>
      <c r="M117" s="19">
        <v>46010</v>
      </c>
      <c r="N117" s="19">
        <v>46720</v>
      </c>
      <c r="O117" s="17" t="s">
        <v>830</v>
      </c>
    </row>
    <row r="118" spans="1:15" x14ac:dyDescent="0.25">
      <c r="A118" s="17" t="s">
        <v>537</v>
      </c>
      <c r="B118" s="17" t="s">
        <v>69</v>
      </c>
      <c r="C118" s="17" t="s">
        <v>70</v>
      </c>
      <c r="D118" s="17"/>
      <c r="E118" s="17" t="s">
        <v>540</v>
      </c>
      <c r="F118" s="17"/>
      <c r="G118" s="17"/>
      <c r="H118" s="17" t="s">
        <v>539</v>
      </c>
      <c r="I118" s="17" t="s">
        <v>73</v>
      </c>
      <c r="J118" s="17" t="s">
        <v>342</v>
      </c>
      <c r="K118" s="18">
        <v>102.3</v>
      </c>
      <c r="L118" s="17" t="s">
        <v>74</v>
      </c>
      <c r="M118" s="19">
        <v>46017</v>
      </c>
      <c r="N118" s="19">
        <v>46715</v>
      </c>
      <c r="O118" s="17" t="s">
        <v>830</v>
      </c>
    </row>
    <row r="119" spans="1:15" x14ac:dyDescent="0.25">
      <c r="A119" s="17" t="s">
        <v>571</v>
      </c>
      <c r="B119" s="17" t="s">
        <v>69</v>
      </c>
      <c r="C119" s="17" t="s">
        <v>70</v>
      </c>
      <c r="D119" s="17"/>
      <c r="E119" s="17" t="s">
        <v>574</v>
      </c>
      <c r="F119" s="17"/>
      <c r="G119" s="17"/>
      <c r="H119" s="17" t="s">
        <v>573</v>
      </c>
      <c r="I119" s="17" t="s">
        <v>73</v>
      </c>
      <c r="J119" s="17" t="s">
        <v>342</v>
      </c>
      <c r="K119" s="18">
        <v>108</v>
      </c>
      <c r="L119" s="17" t="s">
        <v>74</v>
      </c>
      <c r="M119" s="19">
        <v>46009</v>
      </c>
      <c r="N119" s="19">
        <v>46720</v>
      </c>
      <c r="O119" s="17" t="s">
        <v>830</v>
      </c>
    </row>
    <row r="120" spans="1:15" x14ac:dyDescent="0.25">
      <c r="A120" s="17" t="s">
        <v>308</v>
      </c>
      <c r="B120" s="17" t="s">
        <v>69</v>
      </c>
      <c r="C120" s="17" t="s">
        <v>70</v>
      </c>
      <c r="D120" s="17"/>
      <c r="E120" s="17" t="s">
        <v>309</v>
      </c>
      <c r="F120" s="17"/>
      <c r="G120" s="17"/>
      <c r="H120" s="17" t="s">
        <v>299</v>
      </c>
      <c r="I120" s="17" t="s">
        <v>73</v>
      </c>
      <c r="J120" s="17" t="s">
        <v>310</v>
      </c>
      <c r="K120" s="18">
        <v>99</v>
      </c>
      <c r="L120" s="17" t="s">
        <v>74</v>
      </c>
      <c r="M120" s="19">
        <v>45968</v>
      </c>
      <c r="N120" s="19">
        <v>46681</v>
      </c>
      <c r="O120" s="17" t="s">
        <v>830</v>
      </c>
    </row>
    <row r="121" spans="1:15" x14ac:dyDescent="0.25">
      <c r="A121" s="17" t="s">
        <v>22</v>
      </c>
      <c r="B121" s="17" t="s">
        <v>69</v>
      </c>
      <c r="C121" s="17" t="s">
        <v>70</v>
      </c>
      <c r="D121" s="17"/>
      <c r="E121" s="17" t="s">
        <v>344</v>
      </c>
      <c r="F121" s="17"/>
      <c r="G121" s="17"/>
      <c r="H121" s="17" t="s">
        <v>23</v>
      </c>
      <c r="I121" s="17" t="s">
        <v>73</v>
      </c>
      <c r="J121" s="17" t="s">
        <v>310</v>
      </c>
      <c r="K121" s="18">
        <v>50.85</v>
      </c>
      <c r="L121" s="17" t="s">
        <v>74</v>
      </c>
      <c r="M121" s="19">
        <v>46010</v>
      </c>
      <c r="N121" s="19">
        <v>46720</v>
      </c>
      <c r="O121" s="17" t="s">
        <v>830</v>
      </c>
    </row>
    <row r="122" spans="1:15" x14ac:dyDescent="0.25">
      <c r="A122" s="17" t="s">
        <v>375</v>
      </c>
      <c r="B122" s="17" t="s">
        <v>69</v>
      </c>
      <c r="C122" s="17" t="s">
        <v>70</v>
      </c>
      <c r="D122" s="17"/>
      <c r="E122" s="17" t="s">
        <v>377</v>
      </c>
      <c r="F122" s="17"/>
      <c r="G122" s="17"/>
      <c r="H122" s="17" t="s">
        <v>376</v>
      </c>
      <c r="I122" s="17" t="s">
        <v>73</v>
      </c>
      <c r="J122" s="17" t="s">
        <v>310</v>
      </c>
      <c r="K122" s="18">
        <v>48</v>
      </c>
      <c r="L122" s="17" t="s">
        <v>74</v>
      </c>
      <c r="M122" s="19">
        <v>45996</v>
      </c>
      <c r="N122" s="19">
        <v>46712</v>
      </c>
      <c r="O122" s="17" t="s">
        <v>830</v>
      </c>
    </row>
    <row r="123" spans="1:15" x14ac:dyDescent="0.25">
      <c r="A123" s="17" t="s">
        <v>412</v>
      </c>
      <c r="B123" s="17" t="s">
        <v>69</v>
      </c>
      <c r="C123" s="17" t="s">
        <v>70</v>
      </c>
      <c r="D123" s="17"/>
      <c r="E123" s="17" t="s">
        <v>415</v>
      </c>
      <c r="F123" s="17"/>
      <c r="G123" s="17"/>
      <c r="H123" s="17" t="s">
        <v>414</v>
      </c>
      <c r="I123" s="17" t="s">
        <v>73</v>
      </c>
      <c r="J123" s="17" t="s">
        <v>310</v>
      </c>
      <c r="K123" s="18">
        <v>50.04</v>
      </c>
      <c r="L123" s="17" t="s">
        <v>74</v>
      </c>
      <c r="M123" s="19">
        <v>45996</v>
      </c>
      <c r="N123" s="19">
        <v>46707</v>
      </c>
      <c r="O123" s="17" t="s">
        <v>830</v>
      </c>
    </row>
    <row r="124" spans="1:15" x14ac:dyDescent="0.25">
      <c r="A124" s="17" t="s">
        <v>678</v>
      </c>
      <c r="B124" s="17" t="s">
        <v>69</v>
      </c>
      <c r="C124" s="17" t="s">
        <v>70</v>
      </c>
      <c r="D124" s="17"/>
      <c r="E124" s="17" t="s">
        <v>679</v>
      </c>
      <c r="F124" s="17"/>
      <c r="G124" s="17"/>
      <c r="H124" s="17" t="s">
        <v>680</v>
      </c>
      <c r="I124" s="17" t="s">
        <v>73</v>
      </c>
      <c r="J124" s="17" t="s">
        <v>310</v>
      </c>
      <c r="K124" s="18">
        <v>12</v>
      </c>
      <c r="L124" s="17" t="s">
        <v>74</v>
      </c>
      <c r="M124" s="19">
        <v>45983</v>
      </c>
      <c r="N124" s="19">
        <v>46694</v>
      </c>
      <c r="O124" s="17" t="s">
        <v>830</v>
      </c>
    </row>
    <row r="125" spans="1:15" x14ac:dyDescent="0.25">
      <c r="A125" s="17" t="s">
        <v>355</v>
      </c>
      <c r="B125" s="17" t="s">
        <v>69</v>
      </c>
      <c r="C125" s="17" t="s">
        <v>70</v>
      </c>
      <c r="D125" s="17"/>
      <c r="E125" s="17" t="s">
        <v>356</v>
      </c>
      <c r="F125" s="17"/>
      <c r="G125" s="17"/>
      <c r="H125" s="17" t="s">
        <v>357</v>
      </c>
      <c r="I125" s="17" t="s">
        <v>73</v>
      </c>
      <c r="J125" s="17" t="s">
        <v>358</v>
      </c>
      <c r="K125" s="18">
        <v>35.4</v>
      </c>
      <c r="L125" s="17" t="s">
        <v>74</v>
      </c>
      <c r="M125" s="19">
        <v>45988</v>
      </c>
      <c r="N125" s="19">
        <v>46691</v>
      </c>
      <c r="O125" s="17" t="s">
        <v>830</v>
      </c>
    </row>
    <row r="126" spans="1:15" x14ac:dyDescent="0.25">
      <c r="A126" s="17" t="s">
        <v>10</v>
      </c>
      <c r="B126" s="17" t="s">
        <v>69</v>
      </c>
      <c r="C126" s="17" t="s">
        <v>70</v>
      </c>
      <c r="D126" s="17"/>
      <c r="E126" s="17" t="s">
        <v>410</v>
      </c>
      <c r="F126" s="17"/>
      <c r="G126" s="17"/>
      <c r="H126" s="17" t="s">
        <v>11</v>
      </c>
      <c r="I126" s="17" t="s">
        <v>73</v>
      </c>
      <c r="J126" s="17" t="s">
        <v>358</v>
      </c>
      <c r="K126" s="18">
        <v>36</v>
      </c>
      <c r="L126" s="17" t="s">
        <v>74</v>
      </c>
      <c r="M126" s="19">
        <v>46038</v>
      </c>
      <c r="N126" s="19">
        <v>46755</v>
      </c>
      <c r="O126" s="17" t="s">
        <v>830</v>
      </c>
    </row>
    <row r="127" spans="1:15" x14ac:dyDescent="0.25">
      <c r="A127" s="17" t="s">
        <v>2</v>
      </c>
      <c r="B127" s="17" t="s">
        <v>69</v>
      </c>
      <c r="C127" s="17" t="s">
        <v>70</v>
      </c>
      <c r="D127" s="17"/>
      <c r="E127" s="17" t="s">
        <v>637</v>
      </c>
      <c r="F127" s="17"/>
      <c r="G127" s="17"/>
      <c r="H127" s="17" t="s">
        <v>3</v>
      </c>
      <c r="I127" s="17" t="s">
        <v>73</v>
      </c>
      <c r="J127" s="17" t="s">
        <v>358</v>
      </c>
      <c r="K127" s="18">
        <v>36</v>
      </c>
      <c r="L127" s="17" t="s">
        <v>74</v>
      </c>
      <c r="M127" s="19">
        <v>46006</v>
      </c>
      <c r="N127" s="19">
        <v>46720</v>
      </c>
      <c r="O127" s="17" t="s">
        <v>830</v>
      </c>
    </row>
    <row r="128" spans="1:15" x14ac:dyDescent="0.25">
      <c r="A128" s="17" t="s">
        <v>534</v>
      </c>
      <c r="B128" s="17" t="s">
        <v>69</v>
      </c>
      <c r="C128" s="17" t="s">
        <v>70</v>
      </c>
      <c r="D128" s="17"/>
      <c r="E128" s="17" t="s">
        <v>536</v>
      </c>
      <c r="F128" s="17"/>
      <c r="G128" s="17"/>
      <c r="H128" s="17" t="s">
        <v>531</v>
      </c>
      <c r="I128" s="17" t="s">
        <v>73</v>
      </c>
      <c r="J128" s="17" t="s">
        <v>535</v>
      </c>
      <c r="K128" s="18">
        <v>118.8</v>
      </c>
      <c r="L128" s="17" t="s">
        <v>74</v>
      </c>
      <c r="M128" s="19">
        <v>46042</v>
      </c>
      <c r="N128" s="19">
        <v>46741</v>
      </c>
      <c r="O128" s="17" t="s">
        <v>830</v>
      </c>
    </row>
    <row r="129" spans="1:15" x14ac:dyDescent="0.25">
      <c r="A129" s="17" t="s">
        <v>571</v>
      </c>
      <c r="B129" s="17" t="s">
        <v>69</v>
      </c>
      <c r="C129" s="17" t="s">
        <v>70</v>
      </c>
      <c r="D129" s="17"/>
      <c r="E129" s="17" t="s">
        <v>574</v>
      </c>
      <c r="F129" s="17"/>
      <c r="G129" s="17"/>
      <c r="H129" s="17" t="s">
        <v>573</v>
      </c>
      <c r="I129" s="17" t="s">
        <v>73</v>
      </c>
      <c r="J129" s="17" t="s">
        <v>535</v>
      </c>
      <c r="K129" s="18">
        <v>62.85</v>
      </c>
      <c r="L129" s="17" t="s">
        <v>74</v>
      </c>
      <c r="M129" s="19">
        <v>46009</v>
      </c>
      <c r="N129" s="19">
        <v>46720</v>
      </c>
      <c r="O129" s="17" t="s">
        <v>830</v>
      </c>
    </row>
    <row r="130" spans="1:15" x14ac:dyDescent="0.25">
      <c r="A130" s="17" t="s">
        <v>623</v>
      </c>
      <c r="B130" s="17" t="s">
        <v>69</v>
      </c>
      <c r="C130" s="17" t="s">
        <v>70</v>
      </c>
      <c r="D130" s="17"/>
      <c r="E130" s="17" t="s">
        <v>626</v>
      </c>
      <c r="F130" s="17"/>
      <c r="G130" s="17"/>
      <c r="H130" s="17" t="s">
        <v>44</v>
      </c>
      <c r="I130" s="17" t="s">
        <v>73</v>
      </c>
      <c r="J130" s="17" t="s">
        <v>535</v>
      </c>
      <c r="K130" s="18">
        <v>138.6</v>
      </c>
      <c r="L130" s="17" t="s">
        <v>74</v>
      </c>
      <c r="M130" s="19">
        <v>46008</v>
      </c>
      <c r="N130" s="19">
        <v>46720</v>
      </c>
      <c r="O130" s="17" t="s">
        <v>830</v>
      </c>
    </row>
    <row r="131" spans="1:15" x14ac:dyDescent="0.25">
      <c r="A131" s="17" t="s">
        <v>465</v>
      </c>
      <c r="B131" s="17" t="s">
        <v>69</v>
      </c>
      <c r="C131" s="17" t="s">
        <v>70</v>
      </c>
      <c r="D131" s="17"/>
      <c r="E131" s="17" t="s">
        <v>466</v>
      </c>
      <c r="F131" s="17"/>
      <c r="G131" s="17"/>
      <c r="H131" s="17" t="s">
        <v>462</v>
      </c>
      <c r="I131" s="17" t="s">
        <v>73</v>
      </c>
      <c r="J131" s="17" t="s">
        <v>307</v>
      </c>
      <c r="K131" s="18">
        <v>108</v>
      </c>
      <c r="L131" s="17" t="s">
        <v>74</v>
      </c>
      <c r="M131" s="19">
        <v>45993</v>
      </c>
      <c r="N131" s="19">
        <v>46681</v>
      </c>
      <c r="O131" s="17" t="s">
        <v>830</v>
      </c>
    </row>
    <row r="132" spans="1:15" x14ac:dyDescent="0.25">
      <c r="A132" s="17" t="s">
        <v>549</v>
      </c>
      <c r="B132" s="17" t="s">
        <v>69</v>
      </c>
      <c r="C132" s="17" t="s">
        <v>70</v>
      </c>
      <c r="D132" s="17"/>
      <c r="E132" s="17" t="s">
        <v>550</v>
      </c>
      <c r="F132" s="17"/>
      <c r="G132" s="17"/>
      <c r="H132" s="17" t="s">
        <v>32</v>
      </c>
      <c r="I132" s="17" t="s">
        <v>73</v>
      </c>
      <c r="J132" s="17" t="s">
        <v>307</v>
      </c>
      <c r="K132" s="18">
        <v>118.8</v>
      </c>
      <c r="L132" s="17" t="s">
        <v>74</v>
      </c>
      <c r="M132" s="19">
        <v>45994</v>
      </c>
      <c r="N132" s="19">
        <v>46694</v>
      </c>
      <c r="O132" s="17" t="s">
        <v>830</v>
      </c>
    </row>
    <row r="133" spans="1:15" x14ac:dyDescent="0.25">
      <c r="A133" s="17" t="s">
        <v>304</v>
      </c>
      <c r="B133" s="17" t="s">
        <v>69</v>
      </c>
      <c r="C133" s="17" t="s">
        <v>70</v>
      </c>
      <c r="D133" s="17"/>
      <c r="E133" s="17" t="s">
        <v>305</v>
      </c>
      <c r="F133" s="17"/>
      <c r="G133" s="17"/>
      <c r="H133" s="17" t="s">
        <v>299</v>
      </c>
      <c r="I133" s="17" t="s">
        <v>73</v>
      </c>
      <c r="J133" s="17" t="s">
        <v>170</v>
      </c>
      <c r="K133" s="18">
        <v>54</v>
      </c>
      <c r="L133" s="17" t="s">
        <v>74</v>
      </c>
      <c r="M133" s="19">
        <v>45985</v>
      </c>
      <c r="N133" s="19">
        <v>46686</v>
      </c>
      <c r="O133" s="17" t="s">
        <v>830</v>
      </c>
    </row>
    <row r="134" spans="1:15" x14ac:dyDescent="0.25">
      <c r="A134" s="17" t="s">
        <v>399</v>
      </c>
      <c r="B134" s="17" t="s">
        <v>69</v>
      </c>
      <c r="C134" s="17" t="s">
        <v>70</v>
      </c>
      <c r="D134" s="17"/>
      <c r="E134" s="17" t="s">
        <v>400</v>
      </c>
      <c r="F134" s="17"/>
      <c r="G134" s="17"/>
      <c r="H134" s="17" t="s">
        <v>47</v>
      </c>
      <c r="I134" s="17" t="s">
        <v>73</v>
      </c>
      <c r="J134" s="17" t="s">
        <v>170</v>
      </c>
      <c r="K134" s="18">
        <v>138.6</v>
      </c>
      <c r="L134" s="17" t="s">
        <v>74</v>
      </c>
      <c r="M134" s="19">
        <v>46000</v>
      </c>
      <c r="N134" s="19">
        <v>46707</v>
      </c>
      <c r="O134" s="17" t="s">
        <v>830</v>
      </c>
    </row>
    <row r="135" spans="1:15" x14ac:dyDescent="0.25">
      <c r="A135" s="17" t="s">
        <v>438</v>
      </c>
      <c r="B135" s="17" t="s">
        <v>69</v>
      </c>
      <c r="C135" s="17" t="s">
        <v>70</v>
      </c>
      <c r="D135" s="17"/>
      <c r="E135" s="17" t="s">
        <v>442</v>
      </c>
      <c r="F135" s="17"/>
      <c r="G135" s="17"/>
      <c r="H135" s="17" t="s">
        <v>440</v>
      </c>
      <c r="I135" s="17" t="s">
        <v>73</v>
      </c>
      <c r="J135" s="17" t="s">
        <v>170</v>
      </c>
      <c r="K135" s="18">
        <v>36</v>
      </c>
      <c r="L135" s="17" t="s">
        <v>74</v>
      </c>
      <c r="M135" s="19">
        <v>45999</v>
      </c>
      <c r="N135" s="19">
        <v>46707</v>
      </c>
      <c r="O135" s="17" t="s">
        <v>830</v>
      </c>
    </row>
    <row r="136" spans="1:15" x14ac:dyDescent="0.25">
      <c r="A136" s="17" t="s">
        <v>282</v>
      </c>
      <c r="B136" s="17" t="s">
        <v>69</v>
      </c>
      <c r="C136" s="17" t="s">
        <v>70</v>
      </c>
      <c r="D136" s="17"/>
      <c r="E136" s="17" t="s">
        <v>288</v>
      </c>
      <c r="F136" s="17"/>
      <c r="G136" s="17"/>
      <c r="H136" s="17" t="s">
        <v>284</v>
      </c>
      <c r="I136" s="17" t="s">
        <v>73</v>
      </c>
      <c r="J136" s="17" t="s">
        <v>172</v>
      </c>
      <c r="K136" s="18">
        <v>36</v>
      </c>
      <c r="L136" s="17" t="s">
        <v>74</v>
      </c>
      <c r="M136" s="19">
        <v>45952</v>
      </c>
      <c r="N136" s="19">
        <v>46657</v>
      </c>
      <c r="O136" s="17" t="s">
        <v>830</v>
      </c>
    </row>
    <row r="137" spans="1:15" x14ac:dyDescent="0.25">
      <c r="A137" s="17" t="s">
        <v>317</v>
      </c>
      <c r="B137" s="17" t="s">
        <v>69</v>
      </c>
      <c r="C137" s="17" t="s">
        <v>70</v>
      </c>
      <c r="D137" s="17"/>
      <c r="E137" s="17" t="s">
        <v>323</v>
      </c>
      <c r="F137" s="17"/>
      <c r="G137" s="17"/>
      <c r="H137" s="17" t="s">
        <v>319</v>
      </c>
      <c r="I137" s="17" t="s">
        <v>73</v>
      </c>
      <c r="J137" s="17" t="s">
        <v>172</v>
      </c>
      <c r="K137" s="18">
        <v>24</v>
      </c>
      <c r="L137" s="17" t="s">
        <v>74</v>
      </c>
      <c r="M137" s="19">
        <v>45838</v>
      </c>
      <c r="N137" s="19">
        <v>46551</v>
      </c>
      <c r="O137" s="17" t="s">
        <v>830</v>
      </c>
    </row>
    <row r="138" spans="1:15" x14ac:dyDescent="0.25">
      <c r="A138" s="17" t="s">
        <v>473</v>
      </c>
      <c r="B138" s="17" t="s">
        <v>69</v>
      </c>
      <c r="C138" s="17" t="s">
        <v>70</v>
      </c>
      <c r="D138" s="17"/>
      <c r="E138" s="17" t="s">
        <v>474</v>
      </c>
      <c r="F138" s="17"/>
      <c r="G138" s="17"/>
      <c r="H138" s="17" t="s">
        <v>470</v>
      </c>
      <c r="I138" s="17" t="s">
        <v>73</v>
      </c>
      <c r="J138" s="17" t="s">
        <v>172</v>
      </c>
      <c r="K138" s="18">
        <v>36</v>
      </c>
      <c r="L138" s="17" t="s">
        <v>74</v>
      </c>
      <c r="M138" s="19">
        <v>45993</v>
      </c>
      <c r="N138" s="19">
        <v>46705</v>
      </c>
      <c r="O138" s="17" t="s">
        <v>830</v>
      </c>
    </row>
    <row r="139" spans="1:15" x14ac:dyDescent="0.25">
      <c r="A139" s="17" t="s">
        <v>588</v>
      </c>
      <c r="B139" s="17" t="s">
        <v>69</v>
      </c>
      <c r="C139" s="17" t="s">
        <v>70</v>
      </c>
      <c r="D139" s="17"/>
      <c r="E139" s="17" t="s">
        <v>593</v>
      </c>
      <c r="F139" s="17"/>
      <c r="G139" s="17"/>
      <c r="H139" s="17" t="s">
        <v>590</v>
      </c>
      <c r="I139" s="17" t="s">
        <v>73</v>
      </c>
      <c r="J139" s="17" t="s">
        <v>172</v>
      </c>
      <c r="K139" s="18">
        <v>22.2</v>
      </c>
      <c r="L139" s="17" t="s">
        <v>74</v>
      </c>
      <c r="M139" s="19">
        <v>45955</v>
      </c>
      <c r="N139" s="19">
        <v>46663</v>
      </c>
      <c r="O139" s="17" t="s">
        <v>830</v>
      </c>
    </row>
    <row r="140" spans="1:15" x14ac:dyDescent="0.25">
      <c r="A140" s="17" t="s">
        <v>692</v>
      </c>
      <c r="B140" s="17" t="s">
        <v>69</v>
      </c>
      <c r="C140" s="17" t="s">
        <v>70</v>
      </c>
      <c r="D140" s="17"/>
      <c r="E140" s="17" t="s">
        <v>693</v>
      </c>
      <c r="F140" s="17"/>
      <c r="G140" s="17"/>
      <c r="H140" s="17" t="s">
        <v>694</v>
      </c>
      <c r="I140" s="17" t="s">
        <v>73</v>
      </c>
      <c r="J140" s="17" t="s">
        <v>172</v>
      </c>
      <c r="K140" s="18">
        <v>42.3</v>
      </c>
      <c r="L140" s="17" t="s">
        <v>74</v>
      </c>
      <c r="M140" s="19">
        <v>45687</v>
      </c>
      <c r="N140" s="19">
        <v>46401</v>
      </c>
      <c r="O140" s="17" t="s">
        <v>830</v>
      </c>
    </row>
    <row r="141" spans="1:15" x14ac:dyDescent="0.25">
      <c r="A141" s="17" t="s">
        <v>168</v>
      </c>
      <c r="B141" s="17" t="s">
        <v>69</v>
      </c>
      <c r="C141" s="17" t="s">
        <v>70</v>
      </c>
      <c r="D141" s="17"/>
      <c r="E141" s="17" t="s">
        <v>171</v>
      </c>
      <c r="F141" s="17"/>
      <c r="G141" s="17"/>
      <c r="H141" s="17" t="s">
        <v>169</v>
      </c>
      <c r="I141" s="17" t="s">
        <v>73</v>
      </c>
      <c r="J141" s="17" t="s">
        <v>652</v>
      </c>
      <c r="K141" s="18">
        <v>30</v>
      </c>
      <c r="L141" s="17" t="s">
        <v>74</v>
      </c>
      <c r="M141" s="19">
        <v>45964</v>
      </c>
      <c r="N141" s="19">
        <v>46291</v>
      </c>
      <c r="O141" s="17" t="s">
        <v>830</v>
      </c>
    </row>
    <row r="142" spans="1:15" x14ac:dyDescent="0.25">
      <c r="A142" s="17" t="s">
        <v>486</v>
      </c>
      <c r="B142" s="17" t="s">
        <v>69</v>
      </c>
      <c r="C142" s="17" t="s">
        <v>70</v>
      </c>
      <c r="D142" s="17"/>
      <c r="E142" s="17" t="s">
        <v>490</v>
      </c>
      <c r="F142" s="17"/>
      <c r="G142" s="17"/>
      <c r="H142" s="17" t="s">
        <v>488</v>
      </c>
      <c r="I142" s="17" t="s">
        <v>73</v>
      </c>
      <c r="J142" s="17" t="s">
        <v>652</v>
      </c>
      <c r="K142" s="18">
        <v>111</v>
      </c>
      <c r="L142" s="17" t="s">
        <v>74</v>
      </c>
      <c r="M142" s="19">
        <v>45941</v>
      </c>
      <c r="N142" s="19">
        <v>46657</v>
      </c>
      <c r="O142" s="17" t="s">
        <v>830</v>
      </c>
    </row>
    <row r="143" spans="1:15" x14ac:dyDescent="0.25">
      <c r="A143" s="17" t="s">
        <v>649</v>
      </c>
      <c r="B143" s="17" t="s">
        <v>69</v>
      </c>
      <c r="C143" s="17" t="s">
        <v>70</v>
      </c>
      <c r="D143" s="17"/>
      <c r="E143" s="17" t="s">
        <v>650</v>
      </c>
      <c r="F143" s="17"/>
      <c r="G143" s="17"/>
      <c r="H143" s="17" t="s">
        <v>651</v>
      </c>
      <c r="I143" s="17" t="s">
        <v>73</v>
      </c>
      <c r="J143" s="17" t="s">
        <v>652</v>
      </c>
      <c r="K143" s="18">
        <v>108</v>
      </c>
      <c r="L143" s="17" t="s">
        <v>74</v>
      </c>
      <c r="M143" s="19">
        <v>45999</v>
      </c>
      <c r="N143" s="19">
        <v>46667</v>
      </c>
      <c r="O143" s="17" t="s">
        <v>830</v>
      </c>
    </row>
    <row r="144" spans="1:15" x14ac:dyDescent="0.25">
      <c r="A144" s="17" t="s">
        <v>689</v>
      </c>
      <c r="B144" s="17" t="s">
        <v>69</v>
      </c>
      <c r="C144" s="17" t="s">
        <v>70</v>
      </c>
      <c r="D144" s="17"/>
      <c r="E144" s="17" t="s">
        <v>690</v>
      </c>
      <c r="F144" s="17"/>
      <c r="G144" s="17"/>
      <c r="H144" s="17" t="s">
        <v>691</v>
      </c>
      <c r="I144" s="17" t="s">
        <v>73</v>
      </c>
      <c r="J144" s="17" t="s">
        <v>652</v>
      </c>
      <c r="K144" s="18">
        <v>87</v>
      </c>
      <c r="L144" s="17" t="s">
        <v>74</v>
      </c>
      <c r="M144" s="19">
        <v>45632</v>
      </c>
      <c r="N144" s="19">
        <v>46348</v>
      </c>
      <c r="O144" s="17" t="s">
        <v>830</v>
      </c>
    </row>
    <row r="145" spans="1:15" x14ac:dyDescent="0.25">
      <c r="A145" s="17" t="s">
        <v>720</v>
      </c>
      <c r="B145" s="17" t="s">
        <v>69</v>
      </c>
      <c r="C145" s="17" t="s">
        <v>70</v>
      </c>
      <c r="D145" s="17"/>
      <c r="E145" s="17" t="s">
        <v>1234</v>
      </c>
      <c r="F145" s="17"/>
      <c r="G145" s="17"/>
      <c r="H145" s="17" t="s">
        <v>722</v>
      </c>
      <c r="I145" s="17" t="s">
        <v>73</v>
      </c>
      <c r="J145" s="17" t="s">
        <v>806</v>
      </c>
      <c r="K145" s="18">
        <v>35.322000000000003</v>
      </c>
      <c r="L145" s="17" t="s">
        <v>74</v>
      </c>
      <c r="M145" s="19">
        <v>46066</v>
      </c>
      <c r="N145" s="19">
        <v>46425</v>
      </c>
      <c r="O145" s="17" t="s">
        <v>830</v>
      </c>
    </row>
    <row r="146" spans="1:15" x14ac:dyDescent="0.25">
      <c r="A146" s="17" t="s">
        <v>802</v>
      </c>
      <c r="B146" s="17" t="s">
        <v>69</v>
      </c>
      <c r="C146" s="17" t="s">
        <v>70</v>
      </c>
      <c r="D146" s="17"/>
      <c r="E146" s="17" t="s">
        <v>805</v>
      </c>
      <c r="F146" s="17"/>
      <c r="G146" s="17"/>
      <c r="H146" s="17" t="s">
        <v>804</v>
      </c>
      <c r="I146" s="17" t="s">
        <v>73</v>
      </c>
      <c r="J146" s="17" t="s">
        <v>806</v>
      </c>
      <c r="K146" s="18">
        <v>17.052</v>
      </c>
      <c r="L146" s="17" t="s">
        <v>74</v>
      </c>
      <c r="M146" s="19">
        <v>46043</v>
      </c>
      <c r="N146" s="19">
        <v>46395</v>
      </c>
      <c r="O146" s="17" t="s">
        <v>830</v>
      </c>
    </row>
    <row r="147" spans="1:15" x14ac:dyDescent="0.25">
      <c r="A147" s="17" t="s">
        <v>807</v>
      </c>
      <c r="B147" s="17" t="s">
        <v>69</v>
      </c>
      <c r="C147" s="17" t="s">
        <v>70</v>
      </c>
      <c r="D147" s="17"/>
      <c r="E147" s="17" t="s">
        <v>808</v>
      </c>
      <c r="F147" s="17"/>
      <c r="G147" s="17"/>
      <c r="H147" s="17" t="s">
        <v>809</v>
      </c>
      <c r="I147" s="17" t="s">
        <v>73</v>
      </c>
      <c r="J147" s="17" t="s">
        <v>806</v>
      </c>
      <c r="K147" s="18">
        <v>25.83</v>
      </c>
      <c r="L147" s="17" t="s">
        <v>74</v>
      </c>
      <c r="M147" s="19">
        <v>46008</v>
      </c>
      <c r="N147" s="19">
        <v>46360</v>
      </c>
      <c r="O147" s="17" t="s">
        <v>830</v>
      </c>
    </row>
    <row r="148" spans="1:15" x14ac:dyDescent="0.25">
      <c r="A148" s="17" t="s">
        <v>813</v>
      </c>
      <c r="B148" s="17" t="s">
        <v>69</v>
      </c>
      <c r="C148" s="17" t="s">
        <v>70</v>
      </c>
      <c r="D148" s="17"/>
      <c r="E148" s="17" t="s">
        <v>814</v>
      </c>
      <c r="F148" s="17"/>
      <c r="G148" s="17"/>
      <c r="H148" s="17" t="s">
        <v>815</v>
      </c>
      <c r="I148" s="17" t="s">
        <v>73</v>
      </c>
      <c r="J148" s="17" t="s">
        <v>806</v>
      </c>
      <c r="K148" s="18">
        <v>26.24</v>
      </c>
      <c r="L148" s="17" t="s">
        <v>74</v>
      </c>
      <c r="M148" s="19">
        <v>46008</v>
      </c>
      <c r="N148" s="19">
        <v>46360</v>
      </c>
      <c r="O148" s="17" t="s">
        <v>830</v>
      </c>
    </row>
    <row r="149" spans="1:15" x14ac:dyDescent="0.25">
      <c r="A149" s="17" t="s">
        <v>843</v>
      </c>
      <c r="B149" s="17" t="s">
        <v>69</v>
      </c>
      <c r="C149" s="17" t="s">
        <v>70</v>
      </c>
      <c r="D149" s="17"/>
      <c r="E149" s="17" t="s">
        <v>1184</v>
      </c>
      <c r="F149" s="17"/>
      <c r="G149" s="17"/>
      <c r="H149" s="17" t="s">
        <v>845</v>
      </c>
      <c r="I149" s="17" t="s">
        <v>73</v>
      </c>
      <c r="J149" s="17" t="s">
        <v>806</v>
      </c>
      <c r="K149" s="18">
        <v>24.07</v>
      </c>
      <c r="L149" s="17" t="s">
        <v>74</v>
      </c>
      <c r="M149" s="19">
        <v>46058</v>
      </c>
      <c r="N149" s="19">
        <v>46410</v>
      </c>
      <c r="O149" s="17" t="s">
        <v>830</v>
      </c>
    </row>
    <row r="150" spans="1:15" x14ac:dyDescent="0.25">
      <c r="A150" s="17" t="s">
        <v>816</v>
      </c>
      <c r="B150" s="17" t="s">
        <v>69</v>
      </c>
      <c r="C150" s="17" t="s">
        <v>70</v>
      </c>
      <c r="D150" s="17"/>
      <c r="E150" s="17" t="s">
        <v>817</v>
      </c>
      <c r="F150" s="17"/>
      <c r="G150" s="17"/>
      <c r="H150" s="17" t="s">
        <v>818</v>
      </c>
      <c r="I150" s="17" t="s">
        <v>73</v>
      </c>
      <c r="J150" s="17" t="s">
        <v>806</v>
      </c>
      <c r="K150" s="18">
        <v>46.33</v>
      </c>
      <c r="L150" s="17" t="s">
        <v>74</v>
      </c>
      <c r="M150" s="19">
        <v>45999</v>
      </c>
      <c r="N150" s="19">
        <v>46354</v>
      </c>
      <c r="O150" s="17" t="s">
        <v>830</v>
      </c>
    </row>
    <row r="151" spans="1:15" x14ac:dyDescent="0.25">
      <c r="A151" s="17" t="s">
        <v>492</v>
      </c>
      <c r="B151" s="17" t="s">
        <v>69</v>
      </c>
      <c r="C151" s="17" t="s">
        <v>70</v>
      </c>
      <c r="D151" s="17"/>
      <c r="E151" s="17" t="s">
        <v>493</v>
      </c>
      <c r="F151" s="17"/>
      <c r="G151" s="17"/>
      <c r="H151" s="17" t="s">
        <v>494</v>
      </c>
      <c r="I151" s="17" t="s">
        <v>73</v>
      </c>
      <c r="J151" s="17" t="s">
        <v>495</v>
      </c>
      <c r="K151" s="18">
        <v>23.76</v>
      </c>
      <c r="L151" s="17" t="s">
        <v>74</v>
      </c>
      <c r="M151" s="19">
        <v>45660</v>
      </c>
      <c r="N151" s="19">
        <v>46266</v>
      </c>
      <c r="O151" s="17" t="s">
        <v>830</v>
      </c>
    </row>
    <row r="152" spans="1:15" x14ac:dyDescent="0.25">
      <c r="A152" s="17" t="s">
        <v>720</v>
      </c>
      <c r="B152" s="17" t="s">
        <v>69</v>
      </c>
      <c r="C152" s="17" t="s">
        <v>70</v>
      </c>
      <c r="D152" s="17"/>
      <c r="E152" s="17" t="s">
        <v>1147</v>
      </c>
      <c r="F152" s="17"/>
      <c r="G152" s="17"/>
      <c r="H152" s="17" t="s">
        <v>722</v>
      </c>
      <c r="I152" s="17" t="s">
        <v>73</v>
      </c>
      <c r="J152" s="17" t="s">
        <v>495</v>
      </c>
      <c r="K152" s="18">
        <v>17.457999999999998</v>
      </c>
      <c r="L152" s="17" t="s">
        <v>74</v>
      </c>
      <c r="M152" s="19">
        <v>46053</v>
      </c>
      <c r="N152" s="19">
        <v>46410</v>
      </c>
      <c r="O152" s="17" t="s">
        <v>830</v>
      </c>
    </row>
    <row r="153" spans="1:15" x14ac:dyDescent="0.25">
      <c r="A153" s="17" t="s">
        <v>720</v>
      </c>
      <c r="B153" s="17" t="s">
        <v>69</v>
      </c>
      <c r="C153" s="17" t="s">
        <v>70</v>
      </c>
      <c r="D153" s="17"/>
      <c r="E153" s="17" t="s">
        <v>721</v>
      </c>
      <c r="F153" s="17"/>
      <c r="G153" s="17"/>
      <c r="H153" s="17" t="s">
        <v>722</v>
      </c>
      <c r="I153" s="17" t="s">
        <v>73</v>
      </c>
      <c r="J153" s="17" t="s">
        <v>495</v>
      </c>
      <c r="K153" s="18">
        <v>0</v>
      </c>
      <c r="L153" s="17" t="s">
        <v>74</v>
      </c>
      <c r="M153" s="19">
        <v>46036</v>
      </c>
      <c r="N153" s="19">
        <v>46389</v>
      </c>
      <c r="O153" s="17" t="s">
        <v>830</v>
      </c>
    </row>
    <row r="154" spans="1:15" x14ac:dyDescent="0.25">
      <c r="A154" s="17" t="s">
        <v>869</v>
      </c>
      <c r="B154" s="17" t="s">
        <v>69</v>
      </c>
      <c r="C154" s="17" t="s">
        <v>70</v>
      </c>
      <c r="D154" s="17"/>
      <c r="E154" s="17" t="s">
        <v>1148</v>
      </c>
      <c r="F154" s="17"/>
      <c r="G154" s="17"/>
      <c r="H154" s="17" t="s">
        <v>870</v>
      </c>
      <c r="I154" s="17" t="s">
        <v>73</v>
      </c>
      <c r="J154" s="17" t="s">
        <v>495</v>
      </c>
      <c r="K154" s="18">
        <v>2.8380000000000001</v>
      </c>
      <c r="L154" s="17" t="s">
        <v>74</v>
      </c>
      <c r="M154" s="19">
        <v>46053</v>
      </c>
      <c r="N154" s="19">
        <v>46410</v>
      </c>
      <c r="O154" s="17" t="s">
        <v>830</v>
      </c>
    </row>
    <row r="155" spans="1:15" x14ac:dyDescent="0.25">
      <c r="A155" s="17" t="s">
        <v>754</v>
      </c>
      <c r="B155" s="17" t="s">
        <v>69</v>
      </c>
      <c r="C155" s="17" t="s">
        <v>70</v>
      </c>
      <c r="D155" s="17"/>
      <c r="E155" s="17" t="s">
        <v>1237</v>
      </c>
      <c r="F155" s="17"/>
      <c r="G155" s="17"/>
      <c r="H155" s="17" t="s">
        <v>756</v>
      </c>
      <c r="I155" s="17" t="s">
        <v>73</v>
      </c>
      <c r="J155" s="17" t="s">
        <v>495</v>
      </c>
      <c r="K155" s="18">
        <v>27.738</v>
      </c>
      <c r="L155" s="17" t="s">
        <v>74</v>
      </c>
      <c r="M155" s="19">
        <v>46063</v>
      </c>
      <c r="N155" s="19">
        <v>46410</v>
      </c>
      <c r="O155" s="17" t="s">
        <v>830</v>
      </c>
    </row>
    <row r="156" spans="1:15" x14ac:dyDescent="0.25">
      <c r="A156" s="17" t="s">
        <v>762</v>
      </c>
      <c r="B156" s="17" t="s">
        <v>69</v>
      </c>
      <c r="C156" s="17" t="s">
        <v>70</v>
      </c>
      <c r="D156" s="17"/>
      <c r="E156" s="17" t="s">
        <v>763</v>
      </c>
      <c r="F156" s="17"/>
      <c r="G156" s="17"/>
      <c r="H156" s="17" t="s">
        <v>764</v>
      </c>
      <c r="I156" s="17" t="s">
        <v>73</v>
      </c>
      <c r="J156" s="17" t="s">
        <v>495</v>
      </c>
      <c r="K156" s="18">
        <v>44.231999999999999</v>
      </c>
      <c r="L156" s="17" t="s">
        <v>74</v>
      </c>
      <c r="M156" s="19">
        <v>46044</v>
      </c>
      <c r="N156" s="19">
        <v>46283</v>
      </c>
      <c r="O156" s="17" t="s">
        <v>830</v>
      </c>
    </row>
    <row r="157" spans="1:15" x14ac:dyDescent="0.25">
      <c r="A157" s="17" t="s">
        <v>793</v>
      </c>
      <c r="B157" s="17" t="s">
        <v>69</v>
      </c>
      <c r="C157" s="17" t="s">
        <v>70</v>
      </c>
      <c r="D157" s="17"/>
      <c r="E157" s="17" t="s">
        <v>1149</v>
      </c>
      <c r="F157" s="17"/>
      <c r="G157" s="17"/>
      <c r="H157" s="17" t="s">
        <v>795</v>
      </c>
      <c r="I157" s="17" t="s">
        <v>73</v>
      </c>
      <c r="J157" s="17" t="s">
        <v>495</v>
      </c>
      <c r="K157" s="18">
        <v>44.405000000000001</v>
      </c>
      <c r="L157" s="17" t="s">
        <v>74</v>
      </c>
      <c r="M157" s="19">
        <v>46053</v>
      </c>
      <c r="N157" s="19">
        <v>46410</v>
      </c>
      <c r="O157" s="17" t="s">
        <v>830</v>
      </c>
    </row>
    <row r="158" spans="1:15" x14ac:dyDescent="0.25">
      <c r="A158" s="17" t="s">
        <v>261</v>
      </c>
      <c r="B158" s="17" t="s">
        <v>69</v>
      </c>
      <c r="C158" s="17" t="s">
        <v>70</v>
      </c>
      <c r="D158" s="17"/>
      <c r="E158" s="17" t="s">
        <v>262</v>
      </c>
      <c r="F158" s="17"/>
      <c r="G158" s="17"/>
      <c r="H158" s="17" t="s">
        <v>263</v>
      </c>
      <c r="I158" s="17" t="s">
        <v>73</v>
      </c>
      <c r="J158" s="17" t="s">
        <v>264</v>
      </c>
      <c r="K158" s="18">
        <v>4.7519999999999998</v>
      </c>
      <c r="L158" s="17" t="s">
        <v>74</v>
      </c>
      <c r="M158" s="19">
        <v>45660</v>
      </c>
      <c r="N158" s="19">
        <v>46311</v>
      </c>
      <c r="O158" s="17" t="s">
        <v>830</v>
      </c>
    </row>
    <row r="159" spans="1:15" x14ac:dyDescent="0.25">
      <c r="A159" s="17" t="s">
        <v>265</v>
      </c>
      <c r="B159" s="17" t="s">
        <v>69</v>
      </c>
      <c r="C159" s="17" t="s">
        <v>70</v>
      </c>
      <c r="D159" s="17"/>
      <c r="E159" s="17" t="s">
        <v>266</v>
      </c>
      <c r="F159" s="17"/>
      <c r="G159" s="17"/>
      <c r="H159" s="17" t="s">
        <v>267</v>
      </c>
      <c r="I159" s="17" t="s">
        <v>73</v>
      </c>
      <c r="J159" s="17" t="s">
        <v>264</v>
      </c>
      <c r="K159" s="18">
        <v>7.1280000000000001</v>
      </c>
      <c r="L159" s="17" t="s">
        <v>74</v>
      </c>
      <c r="M159" s="19">
        <v>45660</v>
      </c>
      <c r="N159" s="19">
        <v>46523</v>
      </c>
      <c r="O159" s="17" t="s">
        <v>830</v>
      </c>
    </row>
    <row r="160" spans="1:15" x14ac:dyDescent="0.25">
      <c r="A160" s="17" t="s">
        <v>271</v>
      </c>
      <c r="B160" s="17" t="s">
        <v>69</v>
      </c>
      <c r="C160" s="17" t="s">
        <v>70</v>
      </c>
      <c r="D160" s="17"/>
      <c r="E160" s="17" t="s">
        <v>272</v>
      </c>
      <c r="F160" s="17"/>
      <c r="G160" s="17"/>
      <c r="H160" s="17" t="s">
        <v>273</v>
      </c>
      <c r="I160" s="17" t="s">
        <v>73</v>
      </c>
      <c r="J160" s="17" t="s">
        <v>264</v>
      </c>
      <c r="K160" s="18">
        <v>4.7519999999999998</v>
      </c>
      <c r="L160" s="17" t="s">
        <v>74</v>
      </c>
      <c r="M160" s="19">
        <v>45660</v>
      </c>
      <c r="N160" s="19">
        <v>46355</v>
      </c>
      <c r="O160" s="17" t="s">
        <v>830</v>
      </c>
    </row>
    <row r="161" spans="1:15" x14ac:dyDescent="0.25">
      <c r="A161" s="17" t="s">
        <v>275</v>
      </c>
      <c r="B161" s="17" t="s">
        <v>69</v>
      </c>
      <c r="C161" s="17" t="s">
        <v>70</v>
      </c>
      <c r="D161" s="17"/>
      <c r="E161" s="17" t="s">
        <v>276</v>
      </c>
      <c r="F161" s="17"/>
      <c r="G161" s="17"/>
      <c r="H161" s="17" t="s">
        <v>277</v>
      </c>
      <c r="I161" s="17" t="s">
        <v>73</v>
      </c>
      <c r="J161" s="17" t="s">
        <v>264</v>
      </c>
      <c r="K161" s="18">
        <v>7.0919999999999996</v>
      </c>
      <c r="L161" s="17" t="s">
        <v>74</v>
      </c>
      <c r="M161" s="19">
        <v>45660</v>
      </c>
      <c r="N161" s="19">
        <v>46355</v>
      </c>
      <c r="O161" s="17" t="s">
        <v>830</v>
      </c>
    </row>
    <row r="162" spans="1:15" x14ac:dyDescent="0.25">
      <c r="A162" s="17" t="s">
        <v>568</v>
      </c>
      <c r="B162" s="17" t="s">
        <v>69</v>
      </c>
      <c r="C162" s="17" t="s">
        <v>70</v>
      </c>
      <c r="D162" s="17"/>
      <c r="E162" s="17" t="s">
        <v>569</v>
      </c>
      <c r="F162" s="17"/>
      <c r="G162" s="17"/>
      <c r="H162" s="17" t="s">
        <v>570</v>
      </c>
      <c r="I162" s="17" t="s">
        <v>73</v>
      </c>
      <c r="J162" s="17" t="s">
        <v>264</v>
      </c>
      <c r="K162" s="18">
        <v>22.32</v>
      </c>
      <c r="L162" s="17" t="s">
        <v>74</v>
      </c>
      <c r="M162" s="19">
        <v>45629</v>
      </c>
      <c r="N162" s="19">
        <v>46330</v>
      </c>
      <c r="O162" s="17" t="s">
        <v>830</v>
      </c>
    </row>
    <row r="163" spans="1:15" x14ac:dyDescent="0.25">
      <c r="A163" s="17" t="s">
        <v>686</v>
      </c>
      <c r="B163" s="17" t="s">
        <v>69</v>
      </c>
      <c r="C163" s="17" t="s">
        <v>70</v>
      </c>
      <c r="D163" s="17"/>
      <c r="E163" s="17" t="s">
        <v>687</v>
      </c>
      <c r="F163" s="17"/>
      <c r="G163" s="17"/>
      <c r="H163" s="17" t="s">
        <v>688</v>
      </c>
      <c r="I163" s="17" t="s">
        <v>73</v>
      </c>
      <c r="J163" s="17" t="s">
        <v>264</v>
      </c>
      <c r="K163" s="18">
        <v>52.05</v>
      </c>
      <c r="L163" s="17" t="s">
        <v>74</v>
      </c>
      <c r="M163" s="19">
        <v>45639</v>
      </c>
      <c r="N163" s="19">
        <v>46348</v>
      </c>
      <c r="O163" s="17" t="s">
        <v>830</v>
      </c>
    </row>
    <row r="164" spans="1:15" x14ac:dyDescent="0.25">
      <c r="A164" s="17" t="s">
        <v>201</v>
      </c>
      <c r="B164" s="17" t="s">
        <v>69</v>
      </c>
      <c r="C164" s="17" t="s">
        <v>70</v>
      </c>
      <c r="D164" s="17"/>
      <c r="E164" s="17" t="s">
        <v>202</v>
      </c>
      <c r="F164" s="17"/>
      <c r="G164" s="17"/>
      <c r="H164" s="17" t="s">
        <v>203</v>
      </c>
      <c r="I164" s="17" t="s">
        <v>73</v>
      </c>
      <c r="J164" s="17" t="s">
        <v>204</v>
      </c>
      <c r="K164" s="18">
        <v>17.82</v>
      </c>
      <c r="L164" s="17" t="s">
        <v>74</v>
      </c>
      <c r="M164" s="19">
        <v>46052</v>
      </c>
      <c r="N164" s="19">
        <v>47125</v>
      </c>
      <c r="O164" s="17" t="s">
        <v>830</v>
      </c>
    </row>
    <row r="165" spans="1:15" x14ac:dyDescent="0.25">
      <c r="A165" s="17" t="s">
        <v>268</v>
      </c>
      <c r="B165" s="17" t="s">
        <v>69</v>
      </c>
      <c r="C165" s="17" t="s">
        <v>70</v>
      </c>
      <c r="D165" s="17"/>
      <c r="E165" s="17" t="s">
        <v>269</v>
      </c>
      <c r="F165" s="17"/>
      <c r="G165" s="17"/>
      <c r="H165" s="17" t="s">
        <v>270</v>
      </c>
      <c r="I165" s="17" t="s">
        <v>73</v>
      </c>
      <c r="J165" s="17" t="s">
        <v>204</v>
      </c>
      <c r="K165" s="18">
        <v>9.8279999999999994</v>
      </c>
      <c r="L165" s="17" t="s">
        <v>74</v>
      </c>
      <c r="M165" s="19">
        <v>45660</v>
      </c>
      <c r="N165" s="19">
        <v>46710</v>
      </c>
      <c r="O165" s="17" t="s">
        <v>830</v>
      </c>
    </row>
    <row r="166" spans="1:15" x14ac:dyDescent="0.25">
      <c r="A166" s="17" t="s">
        <v>271</v>
      </c>
      <c r="B166" s="17" t="s">
        <v>69</v>
      </c>
      <c r="C166" s="17" t="s">
        <v>70</v>
      </c>
      <c r="D166" s="17"/>
      <c r="E166" s="17" t="s">
        <v>274</v>
      </c>
      <c r="F166" s="17"/>
      <c r="G166" s="17"/>
      <c r="H166" s="17" t="s">
        <v>273</v>
      </c>
      <c r="I166" s="17" t="s">
        <v>73</v>
      </c>
      <c r="J166" s="17" t="s">
        <v>204</v>
      </c>
      <c r="K166" s="18">
        <v>15.552</v>
      </c>
      <c r="L166" s="17" t="s">
        <v>74</v>
      </c>
      <c r="M166" s="19">
        <v>45660</v>
      </c>
      <c r="N166" s="19">
        <v>46599</v>
      </c>
      <c r="O166" s="17" t="s">
        <v>830</v>
      </c>
    </row>
    <row r="167" spans="1:15" x14ac:dyDescent="0.25">
      <c r="A167" s="17" t="s">
        <v>401</v>
      </c>
      <c r="B167" s="17" t="s">
        <v>69</v>
      </c>
      <c r="C167" s="17" t="s">
        <v>70</v>
      </c>
      <c r="D167" s="17"/>
      <c r="E167" s="17" t="s">
        <v>402</v>
      </c>
      <c r="F167" s="17"/>
      <c r="G167" s="17"/>
      <c r="H167" s="17" t="s">
        <v>403</v>
      </c>
      <c r="I167" s="17" t="s">
        <v>73</v>
      </c>
      <c r="J167" s="17" t="s">
        <v>204</v>
      </c>
      <c r="K167" s="18">
        <v>23.76</v>
      </c>
      <c r="L167" s="17" t="s">
        <v>74</v>
      </c>
      <c r="M167" s="19">
        <v>45702</v>
      </c>
      <c r="N167" s="19">
        <v>46420</v>
      </c>
      <c r="O167" s="17" t="s">
        <v>830</v>
      </c>
    </row>
    <row r="168" spans="1:15" x14ac:dyDescent="0.25">
      <c r="A168" s="17" t="s">
        <v>194</v>
      </c>
      <c r="B168" s="17" t="s">
        <v>69</v>
      </c>
      <c r="C168" s="17" t="s">
        <v>70</v>
      </c>
      <c r="D168" s="17"/>
      <c r="E168" s="17" t="s">
        <v>195</v>
      </c>
      <c r="F168" s="17"/>
      <c r="G168" s="17"/>
      <c r="H168" s="17" t="s">
        <v>196</v>
      </c>
      <c r="I168" s="17" t="s">
        <v>73</v>
      </c>
      <c r="J168" s="17" t="s">
        <v>197</v>
      </c>
      <c r="K168" s="18">
        <v>5.0759999999999996</v>
      </c>
      <c r="L168" s="17" t="s">
        <v>74</v>
      </c>
      <c r="M168" s="19">
        <v>46051</v>
      </c>
      <c r="N168" s="19">
        <v>47117</v>
      </c>
      <c r="O168" s="17" t="s">
        <v>830</v>
      </c>
    </row>
    <row r="169" spans="1:15" x14ac:dyDescent="0.25">
      <c r="A169" s="17" t="s">
        <v>211</v>
      </c>
      <c r="B169" s="17" t="s">
        <v>69</v>
      </c>
      <c r="C169" s="17" t="s">
        <v>70</v>
      </c>
      <c r="D169" s="17"/>
      <c r="E169" s="17" t="s">
        <v>212</v>
      </c>
      <c r="F169" s="17"/>
      <c r="G169" s="17"/>
      <c r="H169" s="17" t="s">
        <v>213</v>
      </c>
      <c r="I169" s="17" t="s">
        <v>73</v>
      </c>
      <c r="J169" s="17" t="s">
        <v>197</v>
      </c>
      <c r="K169" s="18">
        <v>9.1440000000000001</v>
      </c>
      <c r="L169" s="17" t="s">
        <v>74</v>
      </c>
      <c r="M169" s="19">
        <v>46050</v>
      </c>
      <c r="N169" s="19">
        <v>47117</v>
      </c>
      <c r="O169" s="17" t="s">
        <v>830</v>
      </c>
    </row>
    <row r="170" spans="1:15" x14ac:dyDescent="0.25">
      <c r="A170" s="17" t="s">
        <v>251</v>
      </c>
      <c r="B170" s="17" t="s">
        <v>69</v>
      </c>
      <c r="C170" s="17" t="s">
        <v>70</v>
      </c>
      <c r="D170" s="17"/>
      <c r="E170" s="17" t="s">
        <v>252</v>
      </c>
      <c r="F170" s="17"/>
      <c r="G170" s="17"/>
      <c r="H170" s="17" t="s">
        <v>250</v>
      </c>
      <c r="I170" s="17" t="s">
        <v>73</v>
      </c>
      <c r="J170" s="17" t="s">
        <v>197</v>
      </c>
      <c r="K170" s="18">
        <v>19.5</v>
      </c>
      <c r="L170" s="17" t="s">
        <v>74</v>
      </c>
      <c r="M170" s="19">
        <v>45985</v>
      </c>
      <c r="N170" s="19">
        <v>47053</v>
      </c>
      <c r="O170" s="17" t="s">
        <v>830</v>
      </c>
    </row>
    <row r="171" spans="1:15" x14ac:dyDescent="0.25">
      <c r="A171" s="17" t="s">
        <v>183</v>
      </c>
      <c r="B171" s="17" t="s">
        <v>69</v>
      </c>
      <c r="C171" s="17" t="s">
        <v>70</v>
      </c>
      <c r="D171" s="17"/>
      <c r="E171" s="17" t="s">
        <v>184</v>
      </c>
      <c r="F171" s="17"/>
      <c r="G171" s="17"/>
      <c r="H171" s="17" t="s">
        <v>185</v>
      </c>
      <c r="I171" s="17" t="s">
        <v>73</v>
      </c>
      <c r="J171" s="17" t="s">
        <v>186</v>
      </c>
      <c r="K171" s="18">
        <v>1.3680000000000001</v>
      </c>
      <c r="L171" s="17" t="s">
        <v>74</v>
      </c>
      <c r="M171" s="19">
        <v>45980</v>
      </c>
      <c r="N171" s="19">
        <v>47053</v>
      </c>
      <c r="O171" s="17" t="s">
        <v>830</v>
      </c>
    </row>
    <row r="172" spans="1:15" x14ac:dyDescent="0.25">
      <c r="A172" s="17" t="s">
        <v>191</v>
      </c>
      <c r="B172" s="17" t="s">
        <v>69</v>
      </c>
      <c r="C172" s="17" t="s">
        <v>70</v>
      </c>
      <c r="D172" s="17"/>
      <c r="E172" s="17" t="s">
        <v>192</v>
      </c>
      <c r="F172" s="17"/>
      <c r="G172" s="17"/>
      <c r="H172" s="17" t="s">
        <v>193</v>
      </c>
      <c r="I172" s="17" t="s">
        <v>73</v>
      </c>
      <c r="J172" s="17" t="s">
        <v>186</v>
      </c>
      <c r="K172" s="18">
        <v>7.1639999999999997</v>
      </c>
      <c r="L172" s="17" t="s">
        <v>74</v>
      </c>
      <c r="M172" s="19">
        <v>45950</v>
      </c>
      <c r="N172" s="19">
        <v>47020</v>
      </c>
      <c r="O172" s="17" t="s">
        <v>830</v>
      </c>
    </row>
    <row r="173" spans="1:15" x14ac:dyDescent="0.25">
      <c r="A173" s="17" t="s">
        <v>903</v>
      </c>
      <c r="B173" s="17" t="s">
        <v>69</v>
      </c>
      <c r="C173" s="17" t="s">
        <v>70</v>
      </c>
      <c r="D173" s="17"/>
      <c r="E173" s="17" t="s">
        <v>1241</v>
      </c>
      <c r="F173" s="17"/>
      <c r="G173" s="17"/>
      <c r="H173" s="17" t="s">
        <v>905</v>
      </c>
      <c r="I173" s="17" t="s">
        <v>73</v>
      </c>
      <c r="J173" s="17" t="s">
        <v>186</v>
      </c>
      <c r="K173" s="18">
        <v>7.2</v>
      </c>
      <c r="L173" s="17" t="s">
        <v>74</v>
      </c>
      <c r="M173" s="19">
        <v>46062</v>
      </c>
      <c r="N173" s="19">
        <v>47137</v>
      </c>
      <c r="O173" s="17" t="s">
        <v>830</v>
      </c>
    </row>
    <row r="174" spans="1:15" x14ac:dyDescent="0.25">
      <c r="A174" s="17" t="s">
        <v>251</v>
      </c>
      <c r="B174" s="17" t="s">
        <v>69</v>
      </c>
      <c r="C174" s="17" t="s">
        <v>70</v>
      </c>
      <c r="D174" s="17"/>
      <c r="E174" s="17" t="s">
        <v>1242</v>
      </c>
      <c r="F174" s="17"/>
      <c r="G174" s="17"/>
      <c r="H174" s="17" t="s">
        <v>250</v>
      </c>
      <c r="I174" s="17" t="s">
        <v>73</v>
      </c>
      <c r="J174" s="17" t="s">
        <v>186</v>
      </c>
      <c r="K174" s="18">
        <v>17.16</v>
      </c>
      <c r="L174" s="17" t="s">
        <v>74</v>
      </c>
      <c r="M174" s="19">
        <v>46062</v>
      </c>
      <c r="N174" s="19">
        <v>47137</v>
      </c>
      <c r="O174" s="17" t="s">
        <v>830</v>
      </c>
    </row>
    <row r="175" spans="1:15" x14ac:dyDescent="0.25">
      <c r="A175" s="17" t="s">
        <v>256</v>
      </c>
      <c r="B175" s="17" t="s">
        <v>69</v>
      </c>
      <c r="C175" s="17" t="s">
        <v>70</v>
      </c>
      <c r="D175" s="17"/>
      <c r="E175" s="17" t="s">
        <v>257</v>
      </c>
      <c r="F175" s="17"/>
      <c r="G175" s="17"/>
      <c r="H175" s="17" t="s">
        <v>255</v>
      </c>
      <c r="I175" s="17" t="s">
        <v>73</v>
      </c>
      <c r="J175" s="17" t="s">
        <v>186</v>
      </c>
      <c r="K175" s="18">
        <v>3.96</v>
      </c>
      <c r="L175" s="17" t="s">
        <v>74</v>
      </c>
      <c r="M175" s="19">
        <v>45967</v>
      </c>
      <c r="N175" s="19">
        <v>47032</v>
      </c>
      <c r="O175" s="17" t="s">
        <v>830</v>
      </c>
    </row>
    <row r="176" spans="1:15" x14ac:dyDescent="0.25">
      <c r="A176" s="17" t="s">
        <v>183</v>
      </c>
      <c r="B176" s="17" t="s">
        <v>69</v>
      </c>
      <c r="C176" s="17" t="s">
        <v>70</v>
      </c>
      <c r="D176" s="17"/>
      <c r="E176" s="17" t="s">
        <v>187</v>
      </c>
      <c r="F176" s="17"/>
      <c r="G176" s="17"/>
      <c r="H176" s="17" t="s">
        <v>185</v>
      </c>
      <c r="I176" s="17" t="s">
        <v>73</v>
      </c>
      <c r="J176" s="17" t="s">
        <v>239</v>
      </c>
      <c r="K176" s="18">
        <v>4.7519999999999998</v>
      </c>
      <c r="L176" s="17" t="s">
        <v>74</v>
      </c>
      <c r="M176" s="19">
        <v>46008</v>
      </c>
      <c r="N176" s="19">
        <v>47080</v>
      </c>
      <c r="O176" s="17" t="s">
        <v>830</v>
      </c>
    </row>
    <row r="177" spans="1:15" x14ac:dyDescent="0.25">
      <c r="A177" s="17" t="s">
        <v>237</v>
      </c>
      <c r="B177" s="17" t="s">
        <v>69</v>
      </c>
      <c r="C177" s="17" t="s">
        <v>70</v>
      </c>
      <c r="D177" s="17"/>
      <c r="E177" s="17" t="s">
        <v>238</v>
      </c>
      <c r="F177" s="17"/>
      <c r="G177" s="17"/>
      <c r="H177" s="17" t="s">
        <v>235</v>
      </c>
      <c r="I177" s="17" t="s">
        <v>73</v>
      </c>
      <c r="J177" s="17" t="s">
        <v>239</v>
      </c>
      <c r="K177" s="18">
        <v>7.02</v>
      </c>
      <c r="L177" s="17" t="s">
        <v>74</v>
      </c>
      <c r="M177" s="19">
        <v>45993</v>
      </c>
      <c r="N177" s="19">
        <v>47054</v>
      </c>
      <c r="O177" s="17" t="s">
        <v>830</v>
      </c>
    </row>
    <row r="178" spans="1:15" x14ac:dyDescent="0.25">
      <c r="A178" s="17" t="s">
        <v>560</v>
      </c>
      <c r="B178" s="17" t="s">
        <v>69</v>
      </c>
      <c r="C178" s="17" t="s">
        <v>70</v>
      </c>
      <c r="D178" s="17"/>
      <c r="E178" s="17" t="s">
        <v>561</v>
      </c>
      <c r="F178" s="17"/>
      <c r="G178" s="17"/>
      <c r="H178" s="17" t="s">
        <v>562</v>
      </c>
      <c r="I178" s="17" t="s">
        <v>73</v>
      </c>
      <c r="J178" s="17" t="s">
        <v>239</v>
      </c>
      <c r="K178" s="18">
        <v>76.031999999999996</v>
      </c>
      <c r="L178" s="17" t="s">
        <v>74</v>
      </c>
      <c r="M178" s="19">
        <v>45926</v>
      </c>
      <c r="N178" s="19">
        <v>46637</v>
      </c>
      <c r="O178" s="17" t="s">
        <v>830</v>
      </c>
    </row>
    <row r="179" spans="1:15" x14ac:dyDescent="0.25">
      <c r="A179" s="17" t="s">
        <v>585</v>
      </c>
      <c r="B179" s="17" t="s">
        <v>69</v>
      </c>
      <c r="C179" s="17" t="s">
        <v>70</v>
      </c>
      <c r="D179" s="17"/>
      <c r="E179" s="17" t="s">
        <v>586</v>
      </c>
      <c r="F179" s="17"/>
      <c r="G179" s="17"/>
      <c r="H179" s="17" t="s">
        <v>587</v>
      </c>
      <c r="I179" s="17" t="s">
        <v>73</v>
      </c>
      <c r="J179" s="17" t="s">
        <v>239</v>
      </c>
      <c r="K179" s="18">
        <v>38.015999999999998</v>
      </c>
      <c r="L179" s="17" t="s">
        <v>74</v>
      </c>
      <c r="M179" s="19">
        <v>46035</v>
      </c>
      <c r="N179" s="19">
        <v>46741</v>
      </c>
      <c r="O179" s="17" t="s">
        <v>830</v>
      </c>
    </row>
    <row r="180" spans="1:15" x14ac:dyDescent="0.25">
      <c r="A180" s="17" t="s">
        <v>709</v>
      </c>
      <c r="B180" s="17" t="s">
        <v>69</v>
      </c>
      <c r="C180" s="17" t="s">
        <v>70</v>
      </c>
      <c r="D180" s="17"/>
      <c r="E180" s="17" t="s">
        <v>710</v>
      </c>
      <c r="F180" s="17"/>
      <c r="G180" s="17"/>
      <c r="H180" s="17" t="s">
        <v>711</v>
      </c>
      <c r="I180" s="17" t="s">
        <v>73</v>
      </c>
      <c r="J180" s="17" t="s">
        <v>239</v>
      </c>
      <c r="K180" s="18">
        <v>3.024</v>
      </c>
      <c r="L180" s="17" t="s">
        <v>74</v>
      </c>
      <c r="M180" s="19">
        <v>45932</v>
      </c>
      <c r="N180" s="19">
        <v>46220</v>
      </c>
      <c r="O180" s="17" t="s">
        <v>830</v>
      </c>
    </row>
    <row r="181" spans="1:15" x14ac:dyDescent="0.25">
      <c r="A181" s="17" t="s">
        <v>176</v>
      </c>
      <c r="B181" s="17" t="s">
        <v>69</v>
      </c>
      <c r="C181" s="17" t="s">
        <v>70</v>
      </c>
      <c r="D181" s="17"/>
      <c r="E181" s="17" t="s">
        <v>177</v>
      </c>
      <c r="F181" s="17"/>
      <c r="G181" s="17"/>
      <c r="H181" s="17" t="s">
        <v>178</v>
      </c>
      <c r="I181" s="17" t="s">
        <v>73</v>
      </c>
      <c r="J181" s="17" t="s">
        <v>188</v>
      </c>
      <c r="K181" s="18">
        <v>14.832000000000001</v>
      </c>
      <c r="L181" s="17" t="s">
        <v>74</v>
      </c>
      <c r="M181" s="19">
        <v>46045</v>
      </c>
      <c r="N181" s="19">
        <v>47114</v>
      </c>
      <c r="O181" s="17" t="s">
        <v>830</v>
      </c>
    </row>
    <row r="182" spans="1:15" x14ac:dyDescent="0.25">
      <c r="A182" s="17" t="s">
        <v>231</v>
      </c>
      <c r="B182" s="17" t="s">
        <v>69</v>
      </c>
      <c r="C182" s="17" t="s">
        <v>70</v>
      </c>
      <c r="D182" s="17"/>
      <c r="E182" s="17" t="s">
        <v>232</v>
      </c>
      <c r="F182" s="17"/>
      <c r="G182" s="17"/>
      <c r="H182" s="17" t="s">
        <v>229</v>
      </c>
      <c r="I182" s="17" t="s">
        <v>73</v>
      </c>
      <c r="J182" s="17" t="s">
        <v>188</v>
      </c>
      <c r="K182" s="18">
        <v>17.82</v>
      </c>
      <c r="L182" s="17" t="s">
        <v>74</v>
      </c>
      <c r="M182" s="19">
        <v>46000</v>
      </c>
      <c r="N182" s="19">
        <v>47069</v>
      </c>
      <c r="O182" s="17" t="s">
        <v>830</v>
      </c>
    </row>
    <row r="183" spans="1:15" x14ac:dyDescent="0.25">
      <c r="A183" s="17" t="s">
        <v>245</v>
      </c>
      <c r="B183" s="17" t="s">
        <v>69</v>
      </c>
      <c r="C183" s="17" t="s">
        <v>70</v>
      </c>
      <c r="D183" s="17"/>
      <c r="E183" s="17" t="s">
        <v>246</v>
      </c>
      <c r="F183" s="17"/>
      <c r="G183" s="17"/>
      <c r="H183" s="17" t="s">
        <v>247</v>
      </c>
      <c r="I183" s="17" t="s">
        <v>73</v>
      </c>
      <c r="J183" s="17" t="s">
        <v>188</v>
      </c>
      <c r="K183" s="18">
        <v>8.52</v>
      </c>
      <c r="L183" s="17" t="s">
        <v>74</v>
      </c>
      <c r="M183" s="19">
        <v>46004</v>
      </c>
      <c r="N183" s="19">
        <v>47075</v>
      </c>
      <c r="O183" s="17" t="s">
        <v>830</v>
      </c>
    </row>
    <row r="184" spans="1:15" x14ac:dyDescent="0.25">
      <c r="A184" s="17" t="s">
        <v>1044</v>
      </c>
      <c r="B184" s="17" t="s">
        <v>69</v>
      </c>
      <c r="C184" s="17" t="s">
        <v>70</v>
      </c>
      <c r="D184" s="17"/>
      <c r="E184" s="17" t="s">
        <v>1210</v>
      </c>
      <c r="F184" s="17"/>
      <c r="G184" s="17"/>
      <c r="H184" s="17" t="s">
        <v>1045</v>
      </c>
      <c r="I184" s="17" t="s">
        <v>73</v>
      </c>
      <c r="J184" s="17" t="s">
        <v>188</v>
      </c>
      <c r="K184" s="18">
        <v>69.695999999999998</v>
      </c>
      <c r="L184" s="17" t="s">
        <v>74</v>
      </c>
      <c r="M184" s="19">
        <v>46059</v>
      </c>
      <c r="N184" s="19">
        <v>46771</v>
      </c>
      <c r="O184" s="17" t="s">
        <v>830</v>
      </c>
    </row>
    <row r="185" spans="1:15" x14ac:dyDescent="0.25">
      <c r="A185" s="17" t="s">
        <v>379</v>
      </c>
      <c r="B185" s="17" t="s">
        <v>69</v>
      </c>
      <c r="C185" s="17" t="s">
        <v>70</v>
      </c>
      <c r="D185" s="17"/>
      <c r="E185" s="17" t="s">
        <v>380</v>
      </c>
      <c r="F185" s="17"/>
      <c r="G185" s="17"/>
      <c r="H185" s="17" t="s">
        <v>381</v>
      </c>
      <c r="I185" s="17" t="s">
        <v>73</v>
      </c>
      <c r="J185" s="17" t="s">
        <v>188</v>
      </c>
      <c r="K185" s="18">
        <v>17.856000000000002</v>
      </c>
      <c r="L185" s="17" t="s">
        <v>74</v>
      </c>
      <c r="M185" s="19">
        <v>46035</v>
      </c>
      <c r="N185" s="19">
        <v>46741</v>
      </c>
      <c r="O185" s="17" t="s">
        <v>830</v>
      </c>
    </row>
    <row r="186" spans="1:15" x14ac:dyDescent="0.25">
      <c r="A186" s="17" t="s">
        <v>183</v>
      </c>
      <c r="B186" s="17" t="s">
        <v>69</v>
      </c>
      <c r="C186" s="17" t="s">
        <v>70</v>
      </c>
      <c r="D186" s="17"/>
      <c r="E186" s="17" t="s">
        <v>189</v>
      </c>
      <c r="F186" s="17"/>
      <c r="G186" s="17"/>
      <c r="H186" s="17" t="s">
        <v>185</v>
      </c>
      <c r="I186" s="17" t="s">
        <v>73</v>
      </c>
      <c r="J186" s="17" t="s">
        <v>190</v>
      </c>
      <c r="K186" s="18">
        <v>13.284000000000001</v>
      </c>
      <c r="L186" s="17" t="s">
        <v>74</v>
      </c>
      <c r="M186" s="19">
        <v>45996</v>
      </c>
      <c r="N186" s="19">
        <v>47065</v>
      </c>
      <c r="O186" s="17" t="s">
        <v>830</v>
      </c>
    </row>
    <row r="187" spans="1:15" x14ac:dyDescent="0.25">
      <c r="A187" s="17" t="s">
        <v>198</v>
      </c>
      <c r="B187" s="17" t="s">
        <v>69</v>
      </c>
      <c r="C187" s="17" t="s">
        <v>70</v>
      </c>
      <c r="D187" s="17"/>
      <c r="E187" s="17" t="s">
        <v>199</v>
      </c>
      <c r="F187" s="17"/>
      <c r="G187" s="17"/>
      <c r="H187" s="17" t="s">
        <v>200</v>
      </c>
      <c r="I187" s="17" t="s">
        <v>73</v>
      </c>
      <c r="J187" s="17" t="s">
        <v>190</v>
      </c>
      <c r="K187" s="18">
        <v>18.396000000000001</v>
      </c>
      <c r="L187" s="17" t="s">
        <v>74</v>
      </c>
      <c r="M187" s="19">
        <v>46050</v>
      </c>
      <c r="N187" s="19">
        <v>47117</v>
      </c>
      <c r="O187" s="17" t="s">
        <v>830</v>
      </c>
    </row>
    <row r="188" spans="1:15" x14ac:dyDescent="0.25">
      <c r="A188" s="17" t="s">
        <v>290</v>
      </c>
      <c r="B188" s="17" t="s">
        <v>69</v>
      </c>
      <c r="C188" s="17" t="s">
        <v>70</v>
      </c>
      <c r="D188" s="17"/>
      <c r="E188" s="17" t="s">
        <v>292</v>
      </c>
      <c r="F188" s="17"/>
      <c r="G188" s="17"/>
      <c r="H188" s="17" t="s">
        <v>291</v>
      </c>
      <c r="I188" s="17" t="s">
        <v>73</v>
      </c>
      <c r="J188" s="17" t="s">
        <v>190</v>
      </c>
      <c r="K188" s="18">
        <v>66.816000000000003</v>
      </c>
      <c r="L188" s="17" t="s">
        <v>74</v>
      </c>
      <c r="M188" s="19">
        <v>46030</v>
      </c>
      <c r="N188" s="19">
        <v>46741</v>
      </c>
      <c r="O188" s="17" t="s">
        <v>830</v>
      </c>
    </row>
    <row r="189" spans="1:15" x14ac:dyDescent="0.25">
      <c r="A189" s="17" t="s">
        <v>218</v>
      </c>
      <c r="B189" s="17" t="s">
        <v>69</v>
      </c>
      <c r="C189" s="17" t="s">
        <v>70</v>
      </c>
      <c r="D189" s="17"/>
      <c r="E189" s="17" t="s">
        <v>219</v>
      </c>
      <c r="F189" s="17"/>
      <c r="G189" s="17"/>
      <c r="H189" s="17" t="s">
        <v>217</v>
      </c>
      <c r="I189" s="17" t="s">
        <v>73</v>
      </c>
      <c r="J189" s="17" t="s">
        <v>220</v>
      </c>
      <c r="K189" s="18">
        <v>18.72</v>
      </c>
      <c r="L189" s="17" t="s">
        <v>74</v>
      </c>
      <c r="M189" s="19">
        <v>45992</v>
      </c>
      <c r="N189" s="19">
        <v>47065</v>
      </c>
      <c r="O189" s="17" t="s">
        <v>830</v>
      </c>
    </row>
    <row r="190" spans="1:15" x14ac:dyDescent="0.25">
      <c r="A190" s="17" t="s">
        <v>218</v>
      </c>
      <c r="B190" s="17" t="s">
        <v>69</v>
      </c>
      <c r="C190" s="17" t="s">
        <v>70</v>
      </c>
      <c r="D190" s="17"/>
      <c r="E190" s="17" t="s">
        <v>221</v>
      </c>
      <c r="F190" s="17"/>
      <c r="G190" s="17"/>
      <c r="H190" s="17" t="s">
        <v>217</v>
      </c>
      <c r="I190" s="17" t="s">
        <v>73</v>
      </c>
      <c r="J190" s="17" t="s">
        <v>220</v>
      </c>
      <c r="K190" s="18">
        <v>13.8</v>
      </c>
      <c r="L190" s="17" t="s">
        <v>74</v>
      </c>
      <c r="M190" s="19">
        <v>45999</v>
      </c>
      <c r="N190" s="19">
        <v>47065</v>
      </c>
      <c r="O190" s="17" t="s">
        <v>830</v>
      </c>
    </row>
    <row r="191" spans="1:15" x14ac:dyDescent="0.25">
      <c r="A191" s="17" t="s">
        <v>922</v>
      </c>
      <c r="B191" s="17" t="s">
        <v>69</v>
      </c>
      <c r="C191" s="17" t="s">
        <v>70</v>
      </c>
      <c r="D191" s="17"/>
      <c r="E191" s="17" t="s">
        <v>1185</v>
      </c>
      <c r="F191" s="17"/>
      <c r="G191" s="17"/>
      <c r="H191" s="17" t="s">
        <v>224</v>
      </c>
      <c r="I191" s="17" t="s">
        <v>73</v>
      </c>
      <c r="J191" s="17" t="s">
        <v>220</v>
      </c>
      <c r="K191" s="18">
        <v>9.7200000000000006</v>
      </c>
      <c r="L191" s="17" t="s">
        <v>74</v>
      </c>
      <c r="M191" s="19">
        <v>46057</v>
      </c>
      <c r="N191" s="19">
        <v>47117</v>
      </c>
      <c r="O191" s="17" t="s">
        <v>830</v>
      </c>
    </row>
    <row r="192" spans="1:15" x14ac:dyDescent="0.25">
      <c r="A192" s="17" t="s">
        <v>882</v>
      </c>
      <c r="B192" s="17" t="s">
        <v>69</v>
      </c>
      <c r="C192" s="17" t="s">
        <v>70</v>
      </c>
      <c r="D192" s="17"/>
      <c r="E192" s="17" t="s">
        <v>1150</v>
      </c>
      <c r="F192" s="17"/>
      <c r="G192" s="17"/>
      <c r="H192" s="17" t="s">
        <v>883</v>
      </c>
      <c r="I192" s="17" t="s">
        <v>73</v>
      </c>
      <c r="J192" s="17" t="s">
        <v>220</v>
      </c>
      <c r="K192" s="18">
        <v>7.1639999999999997</v>
      </c>
      <c r="L192" s="17" t="s">
        <v>74</v>
      </c>
      <c r="M192" s="19">
        <v>46052</v>
      </c>
      <c r="N192" s="19">
        <v>47117</v>
      </c>
      <c r="O192" s="17" t="s">
        <v>830</v>
      </c>
    </row>
    <row r="193" spans="1:15" x14ac:dyDescent="0.25">
      <c r="A193" s="17" t="s">
        <v>258</v>
      </c>
      <c r="B193" s="17" t="s">
        <v>69</v>
      </c>
      <c r="C193" s="17" t="s">
        <v>70</v>
      </c>
      <c r="D193" s="17"/>
      <c r="E193" s="17" t="s">
        <v>259</v>
      </c>
      <c r="F193" s="17"/>
      <c r="G193" s="17"/>
      <c r="H193" s="17" t="s">
        <v>260</v>
      </c>
      <c r="I193" s="17" t="s">
        <v>73</v>
      </c>
      <c r="J193" s="17" t="s">
        <v>220</v>
      </c>
      <c r="K193" s="18">
        <v>7.8120000000000003</v>
      </c>
      <c r="L193" s="17" t="s">
        <v>74</v>
      </c>
      <c r="M193" s="19">
        <v>45996</v>
      </c>
      <c r="N193" s="19">
        <v>47058</v>
      </c>
      <c r="O193" s="17" t="s">
        <v>830</v>
      </c>
    </row>
    <row r="194" spans="1:15" x14ac:dyDescent="0.25">
      <c r="A194" s="17" t="s">
        <v>233</v>
      </c>
      <c r="B194" s="17" t="s">
        <v>69</v>
      </c>
      <c r="C194" s="17" t="s">
        <v>70</v>
      </c>
      <c r="D194" s="17"/>
      <c r="E194" s="17" t="s">
        <v>1187</v>
      </c>
      <c r="F194" s="17"/>
      <c r="G194" s="17"/>
      <c r="H194" s="17" t="s">
        <v>235</v>
      </c>
      <c r="I194" s="17" t="s">
        <v>73</v>
      </c>
      <c r="J194" s="17" t="s">
        <v>244</v>
      </c>
      <c r="K194" s="18">
        <v>99.5</v>
      </c>
      <c r="L194" s="17" t="s">
        <v>74</v>
      </c>
      <c r="M194" s="19">
        <v>46057</v>
      </c>
      <c r="N194" s="19">
        <v>47135</v>
      </c>
      <c r="O194" s="17" t="s">
        <v>830</v>
      </c>
    </row>
    <row r="195" spans="1:15" x14ac:dyDescent="0.25">
      <c r="A195" s="17" t="s">
        <v>233</v>
      </c>
      <c r="B195" s="17" t="s">
        <v>69</v>
      </c>
      <c r="C195" s="17" t="s">
        <v>70</v>
      </c>
      <c r="D195" s="17"/>
      <c r="E195" s="17" t="s">
        <v>1186</v>
      </c>
      <c r="F195" s="17"/>
      <c r="G195" s="17"/>
      <c r="H195" s="17" t="s">
        <v>235</v>
      </c>
      <c r="I195" s="17" t="s">
        <v>73</v>
      </c>
      <c r="J195" s="17" t="s">
        <v>244</v>
      </c>
      <c r="K195" s="18">
        <v>45.5</v>
      </c>
      <c r="L195" s="17" t="s">
        <v>74</v>
      </c>
      <c r="M195" s="19">
        <v>46057</v>
      </c>
      <c r="N195" s="19">
        <v>47135</v>
      </c>
      <c r="O195" s="17" t="s">
        <v>830</v>
      </c>
    </row>
    <row r="196" spans="1:15" x14ac:dyDescent="0.25">
      <c r="A196" s="17" t="s">
        <v>240</v>
      </c>
      <c r="B196" s="17" t="s">
        <v>69</v>
      </c>
      <c r="C196" s="17" t="s">
        <v>70</v>
      </c>
      <c r="D196" s="17"/>
      <c r="E196" s="17" t="s">
        <v>243</v>
      </c>
      <c r="F196" s="17"/>
      <c r="G196" s="17"/>
      <c r="H196" s="17" t="s">
        <v>242</v>
      </c>
      <c r="I196" s="17" t="s">
        <v>73</v>
      </c>
      <c r="J196" s="17" t="s">
        <v>244</v>
      </c>
      <c r="K196" s="18">
        <v>24.5</v>
      </c>
      <c r="L196" s="17" t="s">
        <v>74</v>
      </c>
      <c r="M196" s="19">
        <v>46031</v>
      </c>
      <c r="N196" s="19">
        <v>47075</v>
      </c>
      <c r="O196" s="17" t="s">
        <v>830</v>
      </c>
    </row>
    <row r="197" spans="1:15" x14ac:dyDescent="0.25">
      <c r="A197" s="17" t="s">
        <v>878</v>
      </c>
      <c r="B197" s="17" t="s">
        <v>69</v>
      </c>
      <c r="C197" s="17" t="s">
        <v>70</v>
      </c>
      <c r="D197" s="17"/>
      <c r="E197" s="17" t="s">
        <v>1243</v>
      </c>
      <c r="F197" s="17"/>
      <c r="G197" s="17"/>
      <c r="H197" s="17" t="s">
        <v>880</v>
      </c>
      <c r="I197" s="17" t="s">
        <v>73</v>
      </c>
      <c r="J197" s="17" t="s">
        <v>209</v>
      </c>
      <c r="K197" s="18">
        <v>12.167999999999999</v>
      </c>
      <c r="L197" s="17" t="s">
        <v>74</v>
      </c>
      <c r="M197" s="19">
        <v>46064</v>
      </c>
      <c r="N197" s="19">
        <v>47131</v>
      </c>
      <c r="O197" s="17" t="s">
        <v>830</v>
      </c>
    </row>
    <row r="198" spans="1:15" x14ac:dyDescent="0.25">
      <c r="A198" s="17" t="s">
        <v>205</v>
      </c>
      <c r="B198" s="17" t="s">
        <v>69</v>
      </c>
      <c r="C198" s="17" t="s">
        <v>70</v>
      </c>
      <c r="D198" s="17"/>
      <c r="E198" s="17" t="s">
        <v>208</v>
      </c>
      <c r="F198" s="17"/>
      <c r="G198" s="17"/>
      <c r="H198" s="17" t="s">
        <v>207</v>
      </c>
      <c r="I198" s="17" t="s">
        <v>73</v>
      </c>
      <c r="J198" s="17" t="s">
        <v>209</v>
      </c>
      <c r="K198" s="18">
        <v>40</v>
      </c>
      <c r="L198" s="17" t="s">
        <v>74</v>
      </c>
      <c r="M198" s="19">
        <v>46048</v>
      </c>
      <c r="N198" s="19">
        <v>47125</v>
      </c>
      <c r="O198" s="17" t="s">
        <v>830</v>
      </c>
    </row>
    <row r="199" spans="1:15" x14ac:dyDescent="0.25">
      <c r="A199" s="17" t="s">
        <v>205</v>
      </c>
      <c r="B199" s="17" t="s">
        <v>69</v>
      </c>
      <c r="C199" s="17" t="s">
        <v>70</v>
      </c>
      <c r="D199" s="17"/>
      <c r="E199" s="17" t="s">
        <v>210</v>
      </c>
      <c r="F199" s="17"/>
      <c r="G199" s="17"/>
      <c r="H199" s="17" t="s">
        <v>207</v>
      </c>
      <c r="I199" s="17" t="s">
        <v>73</v>
      </c>
      <c r="J199" s="17" t="s">
        <v>209</v>
      </c>
      <c r="K199" s="18">
        <v>100</v>
      </c>
      <c r="L199" s="17" t="s">
        <v>74</v>
      </c>
      <c r="M199" s="19">
        <v>46048</v>
      </c>
      <c r="N199" s="19">
        <v>47125</v>
      </c>
      <c r="O199" s="17" t="s">
        <v>830</v>
      </c>
    </row>
    <row r="200" spans="1:15" x14ac:dyDescent="0.25">
      <c r="A200" s="17" t="s">
        <v>215</v>
      </c>
      <c r="B200" s="17" t="s">
        <v>69</v>
      </c>
      <c r="C200" s="17" t="s">
        <v>70</v>
      </c>
      <c r="D200" s="17"/>
      <c r="E200" s="17" t="s">
        <v>216</v>
      </c>
      <c r="F200" s="17"/>
      <c r="G200" s="17"/>
      <c r="H200" s="17" t="s">
        <v>217</v>
      </c>
      <c r="I200" s="17" t="s">
        <v>73</v>
      </c>
      <c r="J200" s="17" t="s">
        <v>209</v>
      </c>
      <c r="K200" s="18">
        <v>80</v>
      </c>
      <c r="L200" s="17" t="s">
        <v>74</v>
      </c>
      <c r="M200" s="19">
        <v>45944</v>
      </c>
      <c r="N200" s="19">
        <v>47023</v>
      </c>
      <c r="O200" s="17" t="s">
        <v>830</v>
      </c>
    </row>
    <row r="201" spans="1:15" x14ac:dyDescent="0.25">
      <c r="A201" s="17" t="s">
        <v>227</v>
      </c>
      <c r="B201" s="17" t="s">
        <v>69</v>
      </c>
      <c r="C201" s="17" t="s">
        <v>70</v>
      </c>
      <c r="D201" s="17"/>
      <c r="E201" s="17" t="s">
        <v>230</v>
      </c>
      <c r="F201" s="17"/>
      <c r="G201" s="17"/>
      <c r="H201" s="17" t="s">
        <v>229</v>
      </c>
      <c r="I201" s="17" t="s">
        <v>73</v>
      </c>
      <c r="J201" s="17" t="s">
        <v>209</v>
      </c>
      <c r="K201" s="18">
        <v>69.5</v>
      </c>
      <c r="L201" s="17" t="s">
        <v>74</v>
      </c>
      <c r="M201" s="19">
        <v>46010</v>
      </c>
      <c r="N201" s="19">
        <v>47069</v>
      </c>
      <c r="O201" s="17" t="s">
        <v>830</v>
      </c>
    </row>
    <row r="202" spans="1:15" x14ac:dyDescent="0.25">
      <c r="A202" s="17" t="s">
        <v>233</v>
      </c>
      <c r="B202" s="17" t="s">
        <v>69</v>
      </c>
      <c r="C202" s="17" t="s">
        <v>70</v>
      </c>
      <c r="D202" s="17"/>
      <c r="E202" s="17" t="s">
        <v>236</v>
      </c>
      <c r="F202" s="17"/>
      <c r="G202" s="17"/>
      <c r="H202" s="17" t="s">
        <v>235</v>
      </c>
      <c r="I202" s="17" t="s">
        <v>73</v>
      </c>
      <c r="J202" s="17" t="s">
        <v>209</v>
      </c>
      <c r="K202" s="18">
        <v>26</v>
      </c>
      <c r="L202" s="17" t="s">
        <v>74</v>
      </c>
      <c r="M202" s="19">
        <v>45979</v>
      </c>
      <c r="N202" s="19">
        <v>47054</v>
      </c>
      <c r="O202" s="17" t="s">
        <v>830</v>
      </c>
    </row>
    <row r="203" spans="1:15" x14ac:dyDescent="0.25">
      <c r="A203" s="17" t="s">
        <v>233</v>
      </c>
      <c r="B203" s="17" t="s">
        <v>69</v>
      </c>
      <c r="C203" s="17" t="s">
        <v>70</v>
      </c>
      <c r="D203" s="17"/>
      <c r="E203" s="17" t="s">
        <v>234</v>
      </c>
      <c r="F203" s="17"/>
      <c r="G203" s="17"/>
      <c r="H203" s="17" t="s">
        <v>235</v>
      </c>
      <c r="I203" s="17" t="s">
        <v>73</v>
      </c>
      <c r="J203" s="17" t="s">
        <v>209</v>
      </c>
      <c r="K203" s="18">
        <v>10</v>
      </c>
      <c r="L203" s="17" t="s">
        <v>74</v>
      </c>
      <c r="M203" s="19">
        <v>45979</v>
      </c>
      <c r="N203" s="19">
        <v>47054</v>
      </c>
      <c r="O203" s="17" t="s">
        <v>830</v>
      </c>
    </row>
    <row r="204" spans="1:15" x14ac:dyDescent="0.25">
      <c r="A204" s="17" t="s">
        <v>222</v>
      </c>
      <c r="B204" s="17" t="s">
        <v>69</v>
      </c>
      <c r="C204" s="17" t="s">
        <v>70</v>
      </c>
      <c r="D204" s="17"/>
      <c r="E204" s="17" t="s">
        <v>225</v>
      </c>
      <c r="F204" s="17"/>
      <c r="G204" s="17"/>
      <c r="H204" s="17" t="s">
        <v>224</v>
      </c>
      <c r="I204" s="17" t="s">
        <v>73</v>
      </c>
      <c r="J204" s="17" t="s">
        <v>226</v>
      </c>
      <c r="K204" s="18">
        <v>33</v>
      </c>
      <c r="L204" s="17" t="s">
        <v>74</v>
      </c>
      <c r="M204" s="19">
        <v>46050</v>
      </c>
      <c r="N204" s="19">
        <v>47117</v>
      </c>
      <c r="O204" s="17" t="s">
        <v>830</v>
      </c>
    </row>
    <row r="205" spans="1:15" x14ac:dyDescent="0.25">
      <c r="A205" s="17" t="s">
        <v>248</v>
      </c>
      <c r="B205" s="17" t="s">
        <v>69</v>
      </c>
      <c r="C205" s="17" t="s">
        <v>70</v>
      </c>
      <c r="D205" s="17"/>
      <c r="E205" s="17" t="s">
        <v>1244</v>
      </c>
      <c r="F205" s="17"/>
      <c r="G205" s="17"/>
      <c r="H205" s="17" t="s">
        <v>250</v>
      </c>
      <c r="I205" s="17" t="s">
        <v>73</v>
      </c>
      <c r="J205" s="17" t="s">
        <v>226</v>
      </c>
      <c r="K205" s="18">
        <v>99.5</v>
      </c>
      <c r="L205" s="17" t="s">
        <v>74</v>
      </c>
      <c r="M205" s="19">
        <v>46059</v>
      </c>
      <c r="N205" s="19">
        <v>47114</v>
      </c>
      <c r="O205" s="17" t="s">
        <v>830</v>
      </c>
    </row>
    <row r="206" spans="1:15" x14ac:dyDescent="0.25">
      <c r="A206" s="17" t="s">
        <v>324</v>
      </c>
      <c r="B206" s="17" t="s">
        <v>69</v>
      </c>
      <c r="C206" s="17" t="s">
        <v>70</v>
      </c>
      <c r="D206" s="17"/>
      <c r="E206" s="17" t="s">
        <v>1176</v>
      </c>
      <c r="F206" s="17"/>
      <c r="G206" s="17"/>
      <c r="H206" s="17" t="s">
        <v>326</v>
      </c>
      <c r="I206" s="17" t="s">
        <v>73</v>
      </c>
      <c r="J206" s="17" t="s">
        <v>226</v>
      </c>
      <c r="K206" s="18">
        <v>57.024000000000001</v>
      </c>
      <c r="L206" s="17" t="s">
        <v>74</v>
      </c>
      <c r="M206" s="19">
        <v>46058</v>
      </c>
      <c r="N206" s="19">
        <v>46771</v>
      </c>
      <c r="O206" s="17" t="s">
        <v>830</v>
      </c>
    </row>
    <row r="207" spans="1:15" x14ac:dyDescent="0.25">
      <c r="A207" s="17" t="s">
        <v>98</v>
      </c>
      <c r="B207" s="17" t="s">
        <v>69</v>
      </c>
      <c r="C207" s="17" t="s">
        <v>70</v>
      </c>
      <c r="D207" s="17"/>
      <c r="E207" s="17" t="s">
        <v>102</v>
      </c>
      <c r="F207" s="17"/>
      <c r="G207" s="17"/>
      <c r="H207" s="17" t="s">
        <v>100</v>
      </c>
      <c r="I207" s="17" t="s">
        <v>73</v>
      </c>
      <c r="J207" s="17" t="s">
        <v>110</v>
      </c>
      <c r="K207" s="18">
        <v>18.239999999999998</v>
      </c>
      <c r="L207" s="17" t="s">
        <v>74</v>
      </c>
      <c r="M207" s="19">
        <v>46051</v>
      </c>
      <c r="N207" s="19">
        <v>47118</v>
      </c>
      <c r="O207" s="17" t="s">
        <v>830</v>
      </c>
    </row>
    <row r="208" spans="1:15" x14ac:dyDescent="0.25">
      <c r="A208" s="17" t="s">
        <v>122</v>
      </c>
      <c r="B208" s="17" t="s">
        <v>69</v>
      </c>
      <c r="C208" s="17" t="s">
        <v>70</v>
      </c>
      <c r="D208" s="17"/>
      <c r="E208" s="17" t="s">
        <v>124</v>
      </c>
      <c r="F208" s="17"/>
      <c r="G208" s="17"/>
      <c r="H208" s="17" t="s">
        <v>123</v>
      </c>
      <c r="I208" s="17" t="s">
        <v>73</v>
      </c>
      <c r="J208" s="17" t="s">
        <v>1278</v>
      </c>
      <c r="K208" s="18">
        <v>30.72</v>
      </c>
      <c r="L208" s="17" t="s">
        <v>74</v>
      </c>
      <c r="M208" s="19">
        <v>46006</v>
      </c>
      <c r="N208" s="19">
        <v>47075</v>
      </c>
      <c r="O208" s="17" t="s">
        <v>830</v>
      </c>
    </row>
    <row r="209" spans="1:15" x14ac:dyDescent="0.25">
      <c r="A209" s="17" t="s">
        <v>122</v>
      </c>
      <c r="B209" s="17" t="s">
        <v>69</v>
      </c>
      <c r="C209" s="17" t="s">
        <v>70</v>
      </c>
      <c r="D209" s="17"/>
      <c r="E209" s="17" t="s">
        <v>1277</v>
      </c>
      <c r="F209" s="17"/>
      <c r="G209" s="17"/>
      <c r="H209" s="17" t="s">
        <v>123</v>
      </c>
      <c r="I209" s="17" t="s">
        <v>73</v>
      </c>
      <c r="J209" s="17" t="s">
        <v>1278</v>
      </c>
      <c r="K209" s="18">
        <v>69</v>
      </c>
      <c r="L209" s="17" t="s">
        <v>74</v>
      </c>
      <c r="M209" s="19">
        <v>46045</v>
      </c>
      <c r="N209" s="19">
        <v>47118</v>
      </c>
      <c r="O209" s="17" t="s">
        <v>830</v>
      </c>
    </row>
    <row r="210" spans="1:15" x14ac:dyDescent="0.25">
      <c r="A210" s="17" t="s">
        <v>94</v>
      </c>
      <c r="B210" s="17" t="s">
        <v>69</v>
      </c>
      <c r="C210" s="17" t="s">
        <v>70</v>
      </c>
      <c r="D210" s="17"/>
      <c r="E210" s="17" t="s">
        <v>95</v>
      </c>
      <c r="F210" s="17"/>
      <c r="G210" s="17"/>
      <c r="H210" s="17" t="s">
        <v>96</v>
      </c>
      <c r="I210" s="17" t="s">
        <v>73</v>
      </c>
      <c r="J210" s="17" t="s">
        <v>88</v>
      </c>
      <c r="K210" s="18">
        <v>0.84</v>
      </c>
      <c r="L210" s="17" t="s">
        <v>74</v>
      </c>
      <c r="M210" s="19">
        <v>46038</v>
      </c>
      <c r="N210" s="19">
        <v>47100</v>
      </c>
      <c r="O210" s="17" t="s">
        <v>830</v>
      </c>
    </row>
    <row r="211" spans="1:15" x14ac:dyDescent="0.25">
      <c r="A211" s="17" t="s">
        <v>98</v>
      </c>
      <c r="B211" s="17" t="s">
        <v>69</v>
      </c>
      <c r="C211" s="17" t="s">
        <v>70</v>
      </c>
      <c r="D211" s="17"/>
      <c r="E211" s="17" t="s">
        <v>99</v>
      </c>
      <c r="F211" s="17"/>
      <c r="G211" s="17"/>
      <c r="H211" s="17" t="s">
        <v>100</v>
      </c>
      <c r="I211" s="17" t="s">
        <v>73</v>
      </c>
      <c r="J211" s="17" t="s">
        <v>88</v>
      </c>
      <c r="K211" s="18">
        <v>47.16</v>
      </c>
      <c r="L211" s="17" t="s">
        <v>74</v>
      </c>
      <c r="M211" s="19">
        <v>46010</v>
      </c>
      <c r="N211" s="19">
        <v>47083</v>
      </c>
      <c r="O211" s="17" t="s">
        <v>830</v>
      </c>
    </row>
    <row r="212" spans="1:15" x14ac:dyDescent="0.25">
      <c r="A212" s="17" t="s">
        <v>119</v>
      </c>
      <c r="B212" s="17" t="s">
        <v>69</v>
      </c>
      <c r="C212" s="17" t="s">
        <v>70</v>
      </c>
      <c r="D212" s="17"/>
      <c r="E212" s="17" t="s">
        <v>120</v>
      </c>
      <c r="F212" s="17"/>
      <c r="G212" s="17"/>
      <c r="H212" s="17" t="s">
        <v>121</v>
      </c>
      <c r="I212" s="17" t="s">
        <v>73</v>
      </c>
      <c r="J212" s="17" t="s">
        <v>88</v>
      </c>
      <c r="K212" s="18">
        <v>46.44</v>
      </c>
      <c r="L212" s="17" t="s">
        <v>74</v>
      </c>
      <c r="M212" s="19">
        <v>46035</v>
      </c>
      <c r="N212" s="19">
        <v>47100</v>
      </c>
      <c r="O212" s="17" t="s">
        <v>830</v>
      </c>
    </row>
    <row r="213" spans="1:15" x14ac:dyDescent="0.25">
      <c r="A213" s="17" t="s">
        <v>122</v>
      </c>
      <c r="B213" s="17" t="s">
        <v>69</v>
      </c>
      <c r="C213" s="17" t="s">
        <v>70</v>
      </c>
      <c r="D213" s="17"/>
      <c r="E213" s="17" t="s">
        <v>124</v>
      </c>
      <c r="F213" s="17"/>
      <c r="G213" s="17"/>
      <c r="H213" s="17" t="s">
        <v>123</v>
      </c>
      <c r="I213" s="17" t="s">
        <v>73</v>
      </c>
      <c r="J213" s="17" t="s">
        <v>1279</v>
      </c>
      <c r="K213" s="18">
        <v>61.44</v>
      </c>
      <c r="L213" s="17" t="s">
        <v>74</v>
      </c>
      <c r="M213" s="19">
        <v>46006</v>
      </c>
      <c r="N213" s="19">
        <v>47075</v>
      </c>
      <c r="O213" s="17" t="s">
        <v>830</v>
      </c>
    </row>
    <row r="214" spans="1:15" x14ac:dyDescent="0.25">
      <c r="A214" s="17" t="s">
        <v>22</v>
      </c>
      <c r="B214" s="17" t="s">
        <v>69</v>
      </c>
      <c r="C214" s="17" t="s">
        <v>70</v>
      </c>
      <c r="D214" s="17"/>
      <c r="E214" s="17" t="s">
        <v>1219</v>
      </c>
      <c r="F214" s="17"/>
      <c r="G214" s="17"/>
      <c r="H214" s="17" t="s">
        <v>23</v>
      </c>
      <c r="I214" s="17" t="s">
        <v>73</v>
      </c>
      <c r="J214" s="17" t="s">
        <v>627</v>
      </c>
      <c r="K214" s="18">
        <v>240.9</v>
      </c>
      <c r="L214" s="17" t="s">
        <v>74</v>
      </c>
      <c r="M214" s="19">
        <v>46065</v>
      </c>
      <c r="N214" s="19">
        <v>46771</v>
      </c>
      <c r="O214" s="17" t="s">
        <v>830</v>
      </c>
    </row>
    <row r="215" spans="1:15" x14ac:dyDescent="0.25">
      <c r="A215" s="17" t="s">
        <v>42</v>
      </c>
      <c r="B215" s="17" t="s">
        <v>69</v>
      </c>
      <c r="C215" s="17" t="s">
        <v>70</v>
      </c>
      <c r="D215" s="17"/>
      <c r="E215" s="17" t="s">
        <v>615</v>
      </c>
      <c r="F215" s="17"/>
      <c r="G215" s="17"/>
      <c r="H215" s="17" t="s">
        <v>44</v>
      </c>
      <c r="I215" s="17" t="s">
        <v>73</v>
      </c>
      <c r="J215" s="17" t="s">
        <v>1151</v>
      </c>
      <c r="K215" s="18">
        <v>258.12</v>
      </c>
      <c r="L215" s="17" t="s">
        <v>74</v>
      </c>
      <c r="M215" s="19">
        <v>46045</v>
      </c>
      <c r="N215" s="19">
        <v>46757</v>
      </c>
      <c r="O215" s="17" t="s">
        <v>830</v>
      </c>
    </row>
    <row r="216" spans="1:15" x14ac:dyDescent="0.25">
      <c r="A216" s="17" t="s">
        <v>645</v>
      </c>
      <c r="B216" s="17" t="s">
        <v>69</v>
      </c>
      <c r="C216" s="17" t="s">
        <v>70</v>
      </c>
      <c r="D216" s="17"/>
      <c r="E216" s="17" t="s">
        <v>648</v>
      </c>
      <c r="F216" s="17"/>
      <c r="G216" s="17"/>
      <c r="H216" s="17" t="s">
        <v>40</v>
      </c>
      <c r="I216" s="17" t="s">
        <v>73</v>
      </c>
      <c r="J216" s="17" t="s">
        <v>666</v>
      </c>
      <c r="K216" s="18">
        <v>120.6</v>
      </c>
      <c r="L216" s="17" t="s">
        <v>74</v>
      </c>
      <c r="M216" s="19">
        <v>45994</v>
      </c>
      <c r="N216" s="19">
        <v>46694</v>
      </c>
      <c r="O216" s="17" t="s">
        <v>830</v>
      </c>
    </row>
    <row r="217" spans="1:15" x14ac:dyDescent="0.25">
      <c r="A217" s="17" t="s">
        <v>664</v>
      </c>
      <c r="B217" s="17" t="s">
        <v>69</v>
      </c>
      <c r="C217" s="17" t="s">
        <v>70</v>
      </c>
      <c r="D217" s="17"/>
      <c r="E217" s="17" t="s">
        <v>665</v>
      </c>
      <c r="F217" s="17"/>
      <c r="G217" s="17"/>
      <c r="H217" s="17" t="s">
        <v>35</v>
      </c>
      <c r="I217" s="17" t="s">
        <v>73</v>
      </c>
      <c r="J217" s="17" t="s">
        <v>666</v>
      </c>
      <c r="K217" s="18">
        <v>142.19999999999999</v>
      </c>
      <c r="L217" s="17" t="s">
        <v>74</v>
      </c>
      <c r="M217" s="19">
        <v>46028</v>
      </c>
      <c r="N217" s="19">
        <v>46715</v>
      </c>
      <c r="O217" s="17" t="s">
        <v>830</v>
      </c>
    </row>
    <row r="218" spans="1:15" x14ac:dyDescent="0.25">
      <c r="A218" s="17" t="s">
        <v>664</v>
      </c>
      <c r="B218" s="17" t="s">
        <v>69</v>
      </c>
      <c r="C218" s="17" t="s">
        <v>70</v>
      </c>
      <c r="D218" s="17"/>
      <c r="E218" s="17" t="s">
        <v>667</v>
      </c>
      <c r="F218" s="17"/>
      <c r="G218" s="17"/>
      <c r="H218" s="17" t="s">
        <v>35</v>
      </c>
      <c r="I218" s="17" t="s">
        <v>73</v>
      </c>
      <c r="J218" s="17" t="s">
        <v>1189</v>
      </c>
      <c r="K218" s="18">
        <v>194.4</v>
      </c>
      <c r="L218" s="17" t="s">
        <v>74</v>
      </c>
      <c r="M218" s="19">
        <v>46050</v>
      </c>
      <c r="N218" s="19">
        <v>46763</v>
      </c>
      <c r="O218" s="17" t="s">
        <v>830</v>
      </c>
    </row>
    <row r="219" spans="1:15" x14ac:dyDescent="0.25">
      <c r="A219" s="17" t="s">
        <v>39</v>
      </c>
      <c r="B219" s="17" t="s">
        <v>69</v>
      </c>
      <c r="C219" s="17" t="s">
        <v>70</v>
      </c>
      <c r="D219" s="17"/>
      <c r="E219" s="17" t="s">
        <v>642</v>
      </c>
      <c r="F219" s="17"/>
      <c r="G219" s="17"/>
      <c r="H219" s="17" t="s">
        <v>40</v>
      </c>
      <c r="I219" s="17" t="s">
        <v>73</v>
      </c>
      <c r="J219" s="17" t="s">
        <v>643</v>
      </c>
      <c r="K219" s="18">
        <v>272.88</v>
      </c>
      <c r="L219" s="17" t="s">
        <v>74</v>
      </c>
      <c r="M219" s="19">
        <v>46032</v>
      </c>
      <c r="N219" s="19">
        <v>46741</v>
      </c>
      <c r="O219" s="17" t="s">
        <v>830</v>
      </c>
    </row>
    <row r="220" spans="1:15" x14ac:dyDescent="0.25">
      <c r="A220" s="17" t="s">
        <v>365</v>
      </c>
      <c r="B220" s="17" t="s">
        <v>69</v>
      </c>
      <c r="C220" s="17" t="s">
        <v>70</v>
      </c>
      <c r="D220" s="17"/>
      <c r="E220" s="17" t="s">
        <v>368</v>
      </c>
      <c r="F220" s="17"/>
      <c r="G220" s="17"/>
      <c r="H220" s="17" t="s">
        <v>367</v>
      </c>
      <c r="I220" s="17" t="s">
        <v>73</v>
      </c>
      <c r="J220" s="17" t="s">
        <v>369</v>
      </c>
      <c r="K220" s="18">
        <v>245.1</v>
      </c>
      <c r="L220" s="17" t="s">
        <v>74</v>
      </c>
      <c r="M220" s="19">
        <v>46045</v>
      </c>
      <c r="N220" s="19">
        <v>46758</v>
      </c>
      <c r="O220" s="17" t="s">
        <v>830</v>
      </c>
    </row>
    <row r="221" spans="1:15" x14ac:dyDescent="0.25">
      <c r="A221" s="17" t="s">
        <v>438</v>
      </c>
      <c r="B221" s="17" t="s">
        <v>69</v>
      </c>
      <c r="C221" s="17" t="s">
        <v>70</v>
      </c>
      <c r="D221" s="17"/>
      <c r="E221" s="17" t="s">
        <v>444</v>
      </c>
      <c r="F221" s="17"/>
      <c r="G221" s="17"/>
      <c r="H221" s="17" t="s">
        <v>440</v>
      </c>
      <c r="I221" s="17" t="s">
        <v>73</v>
      </c>
      <c r="J221" s="17" t="s">
        <v>445</v>
      </c>
      <c r="K221" s="18">
        <v>272.16000000000003</v>
      </c>
      <c r="L221" s="17" t="s">
        <v>74</v>
      </c>
      <c r="M221" s="19">
        <v>46038</v>
      </c>
      <c r="N221" s="19">
        <v>46741</v>
      </c>
      <c r="O221" s="17" t="s">
        <v>830</v>
      </c>
    </row>
    <row r="222" spans="1:15" x14ac:dyDescent="0.25">
      <c r="A222" s="17" t="s">
        <v>545</v>
      </c>
      <c r="B222" s="17" t="s">
        <v>69</v>
      </c>
      <c r="C222" s="17" t="s">
        <v>70</v>
      </c>
      <c r="D222" s="17"/>
      <c r="E222" s="17" t="s">
        <v>546</v>
      </c>
      <c r="F222" s="17"/>
      <c r="G222" s="17"/>
      <c r="H222" s="17" t="s">
        <v>32</v>
      </c>
      <c r="I222" s="17" t="s">
        <v>73</v>
      </c>
      <c r="J222" s="17" t="s">
        <v>547</v>
      </c>
      <c r="K222" s="18">
        <v>260.64</v>
      </c>
      <c r="L222" s="17" t="s">
        <v>74</v>
      </c>
      <c r="M222" s="19">
        <v>46006</v>
      </c>
      <c r="N222" s="19">
        <v>46715</v>
      </c>
      <c r="O222" s="17" t="s">
        <v>830</v>
      </c>
    </row>
    <row r="223" spans="1:15" x14ac:dyDescent="0.25">
      <c r="A223" s="17" t="s">
        <v>385</v>
      </c>
      <c r="B223" s="17" t="s">
        <v>69</v>
      </c>
      <c r="C223" s="17" t="s">
        <v>70</v>
      </c>
      <c r="D223" s="17"/>
      <c r="E223" s="17" t="s">
        <v>386</v>
      </c>
      <c r="F223" s="17"/>
      <c r="G223" s="17"/>
      <c r="H223" s="17" t="s">
        <v>26</v>
      </c>
      <c r="I223" s="17" t="s">
        <v>73</v>
      </c>
      <c r="J223" s="17" t="s">
        <v>56</v>
      </c>
      <c r="K223" s="18">
        <v>269.64</v>
      </c>
      <c r="L223" s="17" t="s">
        <v>74</v>
      </c>
      <c r="M223" s="19">
        <v>46037</v>
      </c>
      <c r="N223" s="19">
        <v>46741</v>
      </c>
      <c r="O223" s="17" t="s">
        <v>830</v>
      </c>
    </row>
    <row r="224" spans="1:15" x14ac:dyDescent="0.25">
      <c r="A224" s="17" t="s">
        <v>39</v>
      </c>
      <c r="B224" s="17" t="s">
        <v>69</v>
      </c>
      <c r="C224" s="17" t="s">
        <v>70</v>
      </c>
      <c r="D224" s="17"/>
      <c r="E224" s="17" t="s">
        <v>641</v>
      </c>
      <c r="F224" s="17"/>
      <c r="G224" s="17"/>
      <c r="H224" s="17" t="s">
        <v>40</v>
      </c>
      <c r="I224" s="17" t="s">
        <v>73</v>
      </c>
      <c r="J224" s="17" t="s">
        <v>1152</v>
      </c>
      <c r="K224" s="18">
        <v>258.83999999999997</v>
      </c>
      <c r="L224" s="17" t="s">
        <v>74</v>
      </c>
      <c r="M224" s="19">
        <v>46048</v>
      </c>
      <c r="N224" s="19">
        <v>46757</v>
      </c>
      <c r="O224" s="17" t="s">
        <v>830</v>
      </c>
    </row>
    <row r="225" spans="1:15" x14ac:dyDescent="0.25">
      <c r="A225" s="17" t="s">
        <v>42</v>
      </c>
      <c r="B225" s="17" t="s">
        <v>69</v>
      </c>
      <c r="C225" s="17" t="s">
        <v>70</v>
      </c>
      <c r="D225" s="17"/>
      <c r="E225" s="17" t="s">
        <v>618</v>
      </c>
      <c r="F225" s="17"/>
      <c r="G225" s="17"/>
      <c r="H225" s="17" t="s">
        <v>44</v>
      </c>
      <c r="I225" s="17" t="s">
        <v>73</v>
      </c>
      <c r="J225" s="17" t="s">
        <v>619</v>
      </c>
      <c r="K225" s="18">
        <v>261.72000000000003</v>
      </c>
      <c r="L225" s="17" t="s">
        <v>74</v>
      </c>
      <c r="M225" s="19">
        <v>46017</v>
      </c>
      <c r="N225" s="19">
        <v>46715</v>
      </c>
      <c r="O225" s="17" t="s">
        <v>830</v>
      </c>
    </row>
    <row r="226" spans="1:15" x14ac:dyDescent="0.25">
      <c r="A226" s="17" t="s">
        <v>476</v>
      </c>
      <c r="B226" s="17" t="s">
        <v>69</v>
      </c>
      <c r="C226" s="17" t="s">
        <v>70</v>
      </c>
      <c r="D226" s="17"/>
      <c r="E226" s="17" t="s">
        <v>477</v>
      </c>
      <c r="F226" s="17"/>
      <c r="G226" s="17"/>
      <c r="H226" s="17" t="s">
        <v>478</v>
      </c>
      <c r="I226" s="17" t="s">
        <v>73</v>
      </c>
      <c r="J226" s="17" t="s">
        <v>479</v>
      </c>
      <c r="K226" s="18">
        <v>258.60000000000002</v>
      </c>
      <c r="L226" s="17" t="s">
        <v>74</v>
      </c>
      <c r="M226" s="19">
        <v>46000</v>
      </c>
      <c r="N226" s="19">
        <v>46712</v>
      </c>
      <c r="O226" s="17" t="s">
        <v>830</v>
      </c>
    </row>
    <row r="227" spans="1:15" x14ac:dyDescent="0.25">
      <c r="A227" s="17" t="s">
        <v>395</v>
      </c>
      <c r="B227" s="17" t="s">
        <v>69</v>
      </c>
      <c r="C227" s="17" t="s">
        <v>70</v>
      </c>
      <c r="D227" s="17"/>
      <c r="E227" s="17" t="s">
        <v>1245</v>
      </c>
      <c r="F227" s="17"/>
      <c r="G227" s="17"/>
      <c r="H227" s="17" t="s">
        <v>47</v>
      </c>
      <c r="I227" s="17" t="s">
        <v>73</v>
      </c>
      <c r="J227" s="17" t="s">
        <v>506</v>
      </c>
      <c r="K227" s="18">
        <v>248.04</v>
      </c>
      <c r="L227" s="17" t="s">
        <v>74</v>
      </c>
      <c r="M227" s="19">
        <v>46062</v>
      </c>
      <c r="N227" s="19">
        <v>46769</v>
      </c>
      <c r="O227" s="17" t="s">
        <v>830</v>
      </c>
    </row>
    <row r="228" spans="1:15" x14ac:dyDescent="0.25">
      <c r="A228" s="17" t="s">
        <v>446</v>
      </c>
      <c r="B228" s="17" t="s">
        <v>69</v>
      </c>
      <c r="C228" s="17" t="s">
        <v>70</v>
      </c>
      <c r="D228" s="17"/>
      <c r="E228" s="17" t="s">
        <v>447</v>
      </c>
      <c r="F228" s="17"/>
      <c r="G228" s="17"/>
      <c r="H228" s="17" t="s">
        <v>440</v>
      </c>
      <c r="I228" s="17" t="s">
        <v>73</v>
      </c>
      <c r="J228" s="17" t="s">
        <v>448</v>
      </c>
      <c r="K228" s="18">
        <v>149.4</v>
      </c>
      <c r="L228" s="17" t="s">
        <v>74</v>
      </c>
      <c r="M228" s="19">
        <v>46003</v>
      </c>
      <c r="N228" s="19">
        <v>46707</v>
      </c>
      <c r="O228" s="17" t="s">
        <v>830</v>
      </c>
    </row>
    <row r="229" spans="1:15" x14ac:dyDescent="0.25">
      <c r="A229" s="17" t="s">
        <v>294</v>
      </c>
      <c r="B229" s="17" t="s">
        <v>69</v>
      </c>
      <c r="C229" s="17" t="s">
        <v>70</v>
      </c>
      <c r="D229" s="17" t="s">
        <v>1146</v>
      </c>
      <c r="E229" s="17" t="s">
        <v>295</v>
      </c>
      <c r="F229" s="17"/>
      <c r="G229" s="17"/>
      <c r="H229" s="17" t="s">
        <v>296</v>
      </c>
      <c r="I229" s="17" t="s">
        <v>73</v>
      </c>
      <c r="J229" s="17" t="s">
        <v>475</v>
      </c>
      <c r="K229" s="18">
        <v>15.12</v>
      </c>
      <c r="L229" s="17" t="s">
        <v>74</v>
      </c>
      <c r="M229" s="19">
        <v>45420</v>
      </c>
      <c r="N229" s="19">
        <v>46134</v>
      </c>
      <c r="O229" s="17" t="s">
        <v>830</v>
      </c>
    </row>
    <row r="230" spans="1:15" x14ac:dyDescent="0.25">
      <c r="A230" s="17" t="s">
        <v>324</v>
      </c>
      <c r="B230" s="17" t="s">
        <v>69</v>
      </c>
      <c r="C230" s="17" t="s">
        <v>70</v>
      </c>
      <c r="D230" s="17"/>
      <c r="E230" s="17" t="s">
        <v>1176</v>
      </c>
      <c r="F230" s="17"/>
      <c r="G230" s="17"/>
      <c r="H230" s="17" t="s">
        <v>326</v>
      </c>
      <c r="I230" s="17" t="s">
        <v>73</v>
      </c>
      <c r="J230" s="17" t="s">
        <v>475</v>
      </c>
      <c r="K230" s="18">
        <v>113.76</v>
      </c>
      <c r="L230" s="17" t="s">
        <v>74</v>
      </c>
      <c r="M230" s="19">
        <v>46058</v>
      </c>
      <c r="N230" s="19">
        <v>46771</v>
      </c>
      <c r="O230" s="17" t="s">
        <v>830</v>
      </c>
    </row>
    <row r="231" spans="1:15" x14ac:dyDescent="0.25">
      <c r="A231" s="17" t="s">
        <v>337</v>
      </c>
      <c r="B231" s="17" t="s">
        <v>69</v>
      </c>
      <c r="C231" s="17" t="s">
        <v>70</v>
      </c>
      <c r="D231" s="17" t="s">
        <v>1146</v>
      </c>
      <c r="E231" s="17" t="s">
        <v>338</v>
      </c>
      <c r="F231" s="17"/>
      <c r="G231" s="17"/>
      <c r="H231" s="17" t="s">
        <v>339</v>
      </c>
      <c r="I231" s="17" t="s">
        <v>73</v>
      </c>
      <c r="J231" s="17" t="s">
        <v>475</v>
      </c>
      <c r="K231" s="18">
        <v>55.008000000000003</v>
      </c>
      <c r="L231" s="17" t="s">
        <v>74</v>
      </c>
      <c r="M231" s="19">
        <v>45659</v>
      </c>
      <c r="N231" s="19">
        <v>46115</v>
      </c>
      <c r="O231" s="17" t="s">
        <v>830</v>
      </c>
    </row>
    <row r="232" spans="1:15" x14ac:dyDescent="0.25">
      <c r="A232" s="17" t="s">
        <v>457</v>
      </c>
      <c r="B232" s="17" t="s">
        <v>69</v>
      </c>
      <c r="C232" s="17" t="s">
        <v>70</v>
      </c>
      <c r="D232" s="17" t="s">
        <v>1146</v>
      </c>
      <c r="E232" s="17" t="s">
        <v>458</v>
      </c>
      <c r="F232" s="17"/>
      <c r="G232" s="17"/>
      <c r="H232" s="17" t="s">
        <v>459</v>
      </c>
      <c r="I232" s="17" t="s">
        <v>73</v>
      </c>
      <c r="J232" s="17" t="s">
        <v>475</v>
      </c>
      <c r="K232" s="18">
        <v>30.78</v>
      </c>
      <c r="L232" s="17" t="s">
        <v>74</v>
      </c>
      <c r="M232" s="19">
        <v>45422</v>
      </c>
      <c r="N232" s="19">
        <v>46134</v>
      </c>
      <c r="O232" s="17" t="s">
        <v>830</v>
      </c>
    </row>
    <row r="233" spans="1:15" x14ac:dyDescent="0.25">
      <c r="A233" s="17" t="s">
        <v>848</v>
      </c>
      <c r="B233" s="17" t="s">
        <v>69</v>
      </c>
      <c r="C233" s="17" t="s">
        <v>70</v>
      </c>
      <c r="D233" s="17" t="s">
        <v>1146</v>
      </c>
      <c r="E233" s="17" t="s">
        <v>849</v>
      </c>
      <c r="F233" s="17"/>
      <c r="G233" s="17"/>
      <c r="H233" s="17" t="s">
        <v>850</v>
      </c>
      <c r="I233" s="17" t="s">
        <v>73</v>
      </c>
      <c r="J233" s="17" t="s">
        <v>475</v>
      </c>
      <c r="K233" s="18">
        <v>16.559999999999999</v>
      </c>
      <c r="L233" s="17" t="s">
        <v>74</v>
      </c>
      <c r="M233" s="19">
        <v>45746</v>
      </c>
      <c r="N233" s="19">
        <v>46101</v>
      </c>
      <c r="O233" s="17" t="s">
        <v>830</v>
      </c>
    </row>
    <row r="234" spans="1:15" x14ac:dyDescent="0.25">
      <c r="A234" s="17" t="s">
        <v>754</v>
      </c>
      <c r="B234" s="17" t="s">
        <v>69</v>
      </c>
      <c r="C234" s="17" t="s">
        <v>70</v>
      </c>
      <c r="D234" s="17" t="s">
        <v>1146</v>
      </c>
      <c r="E234" s="17" t="s">
        <v>755</v>
      </c>
      <c r="F234" s="17"/>
      <c r="G234" s="17"/>
      <c r="H234" s="17" t="s">
        <v>756</v>
      </c>
      <c r="I234" s="17" t="s">
        <v>73</v>
      </c>
      <c r="J234" s="17" t="s">
        <v>475</v>
      </c>
      <c r="K234" s="18">
        <v>6.7110000000000003</v>
      </c>
      <c r="L234" s="17" t="s">
        <v>74</v>
      </c>
      <c r="M234" s="19">
        <v>45746</v>
      </c>
      <c r="N234" s="19">
        <v>46101</v>
      </c>
      <c r="O234" s="17" t="s">
        <v>830</v>
      </c>
    </row>
    <row r="235" spans="1:15" x14ac:dyDescent="0.25">
      <c r="A235" s="17" t="s">
        <v>799</v>
      </c>
      <c r="B235" s="17" t="s">
        <v>69</v>
      </c>
      <c r="C235" s="17" t="s">
        <v>70</v>
      </c>
      <c r="D235" s="17" t="s">
        <v>1146</v>
      </c>
      <c r="E235" s="17" t="s">
        <v>800</v>
      </c>
      <c r="F235" s="17"/>
      <c r="G235" s="17"/>
      <c r="H235" s="17" t="s">
        <v>801</v>
      </c>
      <c r="I235" s="17" t="s">
        <v>73</v>
      </c>
      <c r="J235" s="17" t="s">
        <v>475</v>
      </c>
      <c r="K235" s="18">
        <v>31.815999999999999</v>
      </c>
      <c r="L235" s="17" t="s">
        <v>74</v>
      </c>
      <c r="M235" s="19">
        <v>45742</v>
      </c>
      <c r="N235" s="19">
        <v>46094</v>
      </c>
      <c r="O235" s="17" t="s">
        <v>830</v>
      </c>
    </row>
    <row r="236" spans="1:15" x14ac:dyDescent="0.25">
      <c r="A236" s="17" t="s">
        <v>802</v>
      </c>
      <c r="B236" s="17" t="s">
        <v>69</v>
      </c>
      <c r="C236" s="17" t="s">
        <v>70</v>
      </c>
      <c r="D236" s="17" t="s">
        <v>1146</v>
      </c>
      <c r="E236" s="17" t="s">
        <v>803</v>
      </c>
      <c r="F236" s="17"/>
      <c r="G236" s="17"/>
      <c r="H236" s="17" t="s">
        <v>804</v>
      </c>
      <c r="I236" s="17" t="s">
        <v>73</v>
      </c>
      <c r="J236" s="17" t="s">
        <v>475</v>
      </c>
      <c r="K236" s="18">
        <v>19.082000000000001</v>
      </c>
      <c r="L236" s="17" t="s">
        <v>74</v>
      </c>
      <c r="M236" s="19">
        <v>45740</v>
      </c>
      <c r="N236" s="19">
        <v>46094</v>
      </c>
      <c r="O236" s="17" t="s">
        <v>830</v>
      </c>
    </row>
    <row r="237" spans="1:15" x14ac:dyDescent="0.25">
      <c r="A237" s="17" t="s">
        <v>278</v>
      </c>
      <c r="B237" s="17" t="s">
        <v>69</v>
      </c>
      <c r="C237" s="17" t="s">
        <v>70</v>
      </c>
      <c r="D237" s="17"/>
      <c r="E237" s="17" t="s">
        <v>279</v>
      </c>
      <c r="F237" s="17"/>
      <c r="G237" s="17"/>
      <c r="H237" s="17" t="s">
        <v>280</v>
      </c>
      <c r="I237" s="17" t="s">
        <v>73</v>
      </c>
      <c r="J237" s="17" t="s">
        <v>281</v>
      </c>
      <c r="K237" s="18">
        <v>9.5039999999999996</v>
      </c>
      <c r="L237" s="17" t="s">
        <v>74</v>
      </c>
      <c r="M237" s="19">
        <v>45660</v>
      </c>
      <c r="N237" s="19">
        <v>46565</v>
      </c>
      <c r="O237" s="17" t="s">
        <v>830</v>
      </c>
    </row>
    <row r="238" spans="1:15" x14ac:dyDescent="0.25">
      <c r="A238" s="17" t="s">
        <v>330</v>
      </c>
      <c r="B238" s="17" t="s">
        <v>69</v>
      </c>
      <c r="C238" s="17" t="s">
        <v>70</v>
      </c>
      <c r="D238" s="17"/>
      <c r="E238" s="17" t="s">
        <v>333</v>
      </c>
      <c r="F238" s="17"/>
      <c r="G238" s="17"/>
      <c r="H238" s="17" t="s">
        <v>332</v>
      </c>
      <c r="I238" s="17" t="s">
        <v>73</v>
      </c>
      <c r="J238" s="17" t="s">
        <v>281</v>
      </c>
      <c r="K238" s="18">
        <v>172.35</v>
      </c>
      <c r="L238" s="17" t="s">
        <v>74</v>
      </c>
      <c r="M238" s="19">
        <v>45987</v>
      </c>
      <c r="N238" s="19">
        <v>46694</v>
      </c>
      <c r="O238" s="17" t="s">
        <v>830</v>
      </c>
    </row>
    <row r="239" spans="1:15" x14ac:dyDescent="0.25">
      <c r="A239" s="17" t="s">
        <v>311</v>
      </c>
      <c r="B239" s="17" t="s">
        <v>69</v>
      </c>
      <c r="C239" s="17" t="s">
        <v>70</v>
      </c>
      <c r="D239" s="17"/>
      <c r="E239" s="17" t="s">
        <v>315</v>
      </c>
      <c r="F239" s="17"/>
      <c r="G239" s="17"/>
      <c r="H239" s="17" t="s">
        <v>313</v>
      </c>
      <c r="I239" s="17" t="s">
        <v>73</v>
      </c>
      <c r="J239" s="17" t="s">
        <v>491</v>
      </c>
      <c r="K239" s="18">
        <v>180.6</v>
      </c>
      <c r="L239" s="17" t="s">
        <v>74</v>
      </c>
      <c r="M239" s="19">
        <v>45960</v>
      </c>
      <c r="N239" s="19">
        <v>46667</v>
      </c>
      <c r="O239" s="17" t="s">
        <v>830</v>
      </c>
    </row>
    <row r="240" spans="1:15" x14ac:dyDescent="0.25">
      <c r="A240" s="17" t="s">
        <v>507</v>
      </c>
      <c r="B240" s="17" t="s">
        <v>69</v>
      </c>
      <c r="C240" s="17" t="s">
        <v>70</v>
      </c>
      <c r="D240" s="17"/>
      <c r="E240" s="17" t="s">
        <v>512</v>
      </c>
      <c r="F240" s="17"/>
      <c r="G240" s="17"/>
      <c r="H240" s="17" t="s">
        <v>509</v>
      </c>
      <c r="I240" s="17" t="s">
        <v>73</v>
      </c>
      <c r="J240" s="17" t="s">
        <v>513</v>
      </c>
      <c r="K240" s="18">
        <v>53.25</v>
      </c>
      <c r="L240" s="17" t="s">
        <v>74</v>
      </c>
      <c r="M240" s="19">
        <v>45941</v>
      </c>
      <c r="N240" s="19">
        <v>46649</v>
      </c>
      <c r="O240" s="17" t="s">
        <v>830</v>
      </c>
    </row>
    <row r="241" spans="1:15" x14ac:dyDescent="0.25">
      <c r="A241" s="17" t="s">
        <v>555</v>
      </c>
      <c r="B241" s="17" t="s">
        <v>69</v>
      </c>
      <c r="C241" s="17" t="s">
        <v>70</v>
      </c>
      <c r="D241" s="17"/>
      <c r="E241" s="17" t="s">
        <v>556</v>
      </c>
      <c r="F241" s="17"/>
      <c r="G241" s="17"/>
      <c r="H241" s="17" t="s">
        <v>557</v>
      </c>
      <c r="I241" s="17" t="s">
        <v>73</v>
      </c>
      <c r="J241" s="17" t="s">
        <v>513</v>
      </c>
      <c r="K241" s="18">
        <v>102.45</v>
      </c>
      <c r="L241" s="17" t="s">
        <v>74</v>
      </c>
      <c r="M241" s="19"/>
      <c r="N241" s="19">
        <v>46663</v>
      </c>
      <c r="O241" s="17" t="s">
        <v>830</v>
      </c>
    </row>
    <row r="242" spans="1:15" x14ac:dyDescent="0.25">
      <c r="A242" s="17" t="s">
        <v>412</v>
      </c>
      <c r="B242" s="17" t="s">
        <v>69</v>
      </c>
      <c r="C242" s="17" t="s">
        <v>70</v>
      </c>
      <c r="D242" s="17"/>
      <c r="E242" s="17" t="s">
        <v>416</v>
      </c>
      <c r="F242" s="17"/>
      <c r="G242" s="17"/>
      <c r="H242" s="17" t="s">
        <v>414</v>
      </c>
      <c r="I242" s="17" t="s">
        <v>73</v>
      </c>
      <c r="J242" s="17" t="s">
        <v>417</v>
      </c>
      <c r="K242" s="18">
        <v>252.72</v>
      </c>
      <c r="L242" s="17" t="s">
        <v>74</v>
      </c>
      <c r="M242" s="19">
        <v>46038</v>
      </c>
      <c r="N242" s="19">
        <v>46720</v>
      </c>
      <c r="O242" s="17" t="s">
        <v>830</v>
      </c>
    </row>
    <row r="243" spans="1:15" x14ac:dyDescent="0.25">
      <c r="A243" s="17" t="s">
        <v>668</v>
      </c>
      <c r="B243" s="17" t="s">
        <v>69</v>
      </c>
      <c r="C243" s="17" t="s">
        <v>70</v>
      </c>
      <c r="D243" s="17"/>
      <c r="E243" s="17" t="s">
        <v>670</v>
      </c>
      <c r="F243" s="17"/>
      <c r="G243" s="17"/>
      <c r="H243" s="17" t="s">
        <v>35</v>
      </c>
      <c r="I243" s="17" t="s">
        <v>73</v>
      </c>
      <c r="J243" s="17" t="s">
        <v>293</v>
      </c>
      <c r="K243" s="18">
        <v>167.4</v>
      </c>
      <c r="L243" s="17" t="s">
        <v>74</v>
      </c>
      <c r="M243" s="19">
        <v>46051</v>
      </c>
      <c r="N243" s="19">
        <v>46763</v>
      </c>
      <c r="O243" s="17" t="s">
        <v>830</v>
      </c>
    </row>
    <row r="244" spans="1:15" x14ac:dyDescent="0.25">
      <c r="A244" s="17" t="s">
        <v>577</v>
      </c>
      <c r="B244" s="17" t="s">
        <v>69</v>
      </c>
      <c r="C244" s="17" t="s">
        <v>70</v>
      </c>
      <c r="D244" s="17"/>
      <c r="E244" s="17" t="s">
        <v>578</v>
      </c>
      <c r="F244" s="17"/>
      <c r="G244" s="17"/>
      <c r="H244" s="17" t="s">
        <v>579</v>
      </c>
      <c r="I244" s="17" t="s">
        <v>73</v>
      </c>
      <c r="J244" s="17" t="s">
        <v>580</v>
      </c>
      <c r="K244" s="18">
        <v>267.83999999999997</v>
      </c>
      <c r="L244" s="17" t="s">
        <v>74</v>
      </c>
      <c r="M244" s="19">
        <v>46036</v>
      </c>
      <c r="N244" s="19">
        <v>46741</v>
      </c>
      <c r="O244" s="17" t="s">
        <v>830</v>
      </c>
    </row>
    <row r="245" spans="1:15" x14ac:dyDescent="0.25">
      <c r="A245" s="17" t="s">
        <v>348</v>
      </c>
      <c r="B245" s="17" t="s">
        <v>69</v>
      </c>
      <c r="C245" s="17" t="s">
        <v>70</v>
      </c>
      <c r="D245" s="17"/>
      <c r="E245" s="17" t="s">
        <v>352</v>
      </c>
      <c r="F245" s="17"/>
      <c r="G245" s="17"/>
      <c r="H245" s="17" t="s">
        <v>349</v>
      </c>
      <c r="I245" s="17" t="s">
        <v>73</v>
      </c>
      <c r="J245" s="17" t="s">
        <v>306</v>
      </c>
      <c r="K245" s="18">
        <v>241.56</v>
      </c>
      <c r="L245" s="17" t="s">
        <v>74</v>
      </c>
      <c r="M245" s="19">
        <v>46048</v>
      </c>
      <c r="N245" s="19">
        <v>46757</v>
      </c>
      <c r="O245" s="17" t="s">
        <v>830</v>
      </c>
    </row>
    <row r="246" spans="1:15" x14ac:dyDescent="0.25">
      <c r="A246" s="17" t="s">
        <v>39</v>
      </c>
      <c r="B246" s="17" t="s">
        <v>69</v>
      </c>
      <c r="C246" s="17" t="s">
        <v>70</v>
      </c>
      <c r="D246" s="17"/>
      <c r="E246" s="17" t="s">
        <v>639</v>
      </c>
      <c r="F246" s="17"/>
      <c r="G246" s="17"/>
      <c r="H246" s="17" t="s">
        <v>40</v>
      </c>
      <c r="I246" s="17" t="s">
        <v>73</v>
      </c>
      <c r="J246" s="17" t="s">
        <v>640</v>
      </c>
      <c r="K246" s="18">
        <v>266.39999999999998</v>
      </c>
      <c r="L246" s="17" t="s">
        <v>74</v>
      </c>
      <c r="M246" s="19">
        <v>46008</v>
      </c>
      <c r="N246" s="19">
        <v>46715</v>
      </c>
      <c r="O246" s="17" t="s">
        <v>830</v>
      </c>
    </row>
    <row r="247" spans="1:15" x14ac:dyDescent="0.25">
      <c r="A247" s="17" t="s">
        <v>31</v>
      </c>
      <c r="B247" s="17" t="s">
        <v>69</v>
      </c>
      <c r="C247" s="17" t="s">
        <v>70</v>
      </c>
      <c r="D247" s="17"/>
      <c r="E247" s="17" t="s">
        <v>544</v>
      </c>
      <c r="F247" s="17"/>
      <c r="G247" s="17"/>
      <c r="H247" s="17" t="s">
        <v>32</v>
      </c>
      <c r="I247" s="17" t="s">
        <v>73</v>
      </c>
      <c r="J247" s="17" t="s">
        <v>388</v>
      </c>
      <c r="K247" s="18">
        <v>255.9</v>
      </c>
      <c r="L247" s="17" t="s">
        <v>74</v>
      </c>
      <c r="M247" s="19">
        <v>46045</v>
      </c>
      <c r="N247" s="19">
        <v>46741</v>
      </c>
      <c r="O247" s="17" t="s">
        <v>830</v>
      </c>
    </row>
    <row r="248" spans="1:15" x14ac:dyDescent="0.25">
      <c r="A248" s="17" t="s">
        <v>446</v>
      </c>
      <c r="B248" s="17" t="s">
        <v>69</v>
      </c>
      <c r="C248" s="17" t="s">
        <v>70</v>
      </c>
      <c r="D248" s="17"/>
      <c r="E248" s="17" t="s">
        <v>449</v>
      </c>
      <c r="F248" s="17"/>
      <c r="G248" s="17"/>
      <c r="H248" s="17" t="s">
        <v>440</v>
      </c>
      <c r="I248" s="17" t="s">
        <v>73</v>
      </c>
      <c r="J248" s="17" t="s">
        <v>450</v>
      </c>
      <c r="K248" s="18">
        <v>262.8</v>
      </c>
      <c r="L248" s="17" t="s">
        <v>74</v>
      </c>
      <c r="M248" s="19">
        <v>46042</v>
      </c>
      <c r="N248" s="19">
        <v>46741</v>
      </c>
      <c r="O248" s="17" t="s">
        <v>830</v>
      </c>
    </row>
    <row r="249" spans="1:15" x14ac:dyDescent="0.25">
      <c r="A249" s="17" t="s">
        <v>370</v>
      </c>
      <c r="B249" s="17" t="s">
        <v>69</v>
      </c>
      <c r="C249" s="17" t="s">
        <v>70</v>
      </c>
      <c r="D249" s="17"/>
      <c r="E249" s="17" t="s">
        <v>373</v>
      </c>
      <c r="F249" s="17"/>
      <c r="G249" s="17"/>
      <c r="H249" s="17" t="s">
        <v>372</v>
      </c>
      <c r="I249" s="17" t="s">
        <v>73</v>
      </c>
      <c r="J249" s="17" t="s">
        <v>374</v>
      </c>
      <c r="K249" s="18">
        <v>235.8</v>
      </c>
      <c r="L249" s="17" t="s">
        <v>74</v>
      </c>
      <c r="M249" s="19">
        <v>45982</v>
      </c>
      <c r="N249" s="19">
        <v>46694</v>
      </c>
      <c r="O249" s="17" t="s">
        <v>830</v>
      </c>
    </row>
    <row r="250" spans="1:15" x14ac:dyDescent="0.25">
      <c r="A250" s="17" t="s">
        <v>6</v>
      </c>
      <c r="B250" s="17" t="s">
        <v>69</v>
      </c>
      <c r="C250" s="17" t="s">
        <v>70</v>
      </c>
      <c r="D250" s="17"/>
      <c r="E250" s="17" t="s">
        <v>1222</v>
      </c>
      <c r="F250" s="17"/>
      <c r="G250" s="17"/>
      <c r="H250" s="17" t="s">
        <v>7</v>
      </c>
      <c r="I250" s="17" t="s">
        <v>73</v>
      </c>
      <c r="J250" s="17" t="s">
        <v>443</v>
      </c>
      <c r="K250" s="18">
        <v>182.85</v>
      </c>
      <c r="L250" s="17" t="s">
        <v>74</v>
      </c>
      <c r="M250" s="19">
        <v>46065</v>
      </c>
      <c r="N250" s="19">
        <v>46762</v>
      </c>
      <c r="O250" s="17" t="s">
        <v>830</v>
      </c>
    </row>
    <row r="251" spans="1:15" x14ac:dyDescent="0.25">
      <c r="A251" s="17" t="s">
        <v>82</v>
      </c>
      <c r="B251" s="17" t="s">
        <v>69</v>
      </c>
      <c r="C251" s="17" t="s">
        <v>70</v>
      </c>
      <c r="D251" s="17"/>
      <c r="E251" s="17" t="s">
        <v>85</v>
      </c>
      <c r="F251" s="17"/>
      <c r="G251" s="17"/>
      <c r="H251" s="17" t="s">
        <v>84</v>
      </c>
      <c r="I251" s="17" t="s">
        <v>73</v>
      </c>
      <c r="J251" s="17" t="s">
        <v>614</v>
      </c>
      <c r="K251" s="18">
        <v>89.64</v>
      </c>
      <c r="L251" s="17" t="s">
        <v>74</v>
      </c>
      <c r="M251" s="19">
        <v>46051</v>
      </c>
      <c r="N251" s="19">
        <v>47118</v>
      </c>
      <c r="O251" s="17" t="s">
        <v>830</v>
      </c>
    </row>
    <row r="252" spans="1:15" x14ac:dyDescent="0.25">
      <c r="A252" s="17" t="s">
        <v>122</v>
      </c>
      <c r="B252" s="17" t="s">
        <v>69</v>
      </c>
      <c r="C252" s="17" t="s">
        <v>70</v>
      </c>
      <c r="D252" s="17"/>
      <c r="E252" s="17" t="s">
        <v>1175</v>
      </c>
      <c r="F252" s="17"/>
      <c r="G252" s="17"/>
      <c r="H252" s="17" t="s">
        <v>123</v>
      </c>
      <c r="I252" s="17" t="s">
        <v>73</v>
      </c>
      <c r="J252" s="17" t="s">
        <v>614</v>
      </c>
      <c r="K252" s="18">
        <v>143.52000000000001</v>
      </c>
      <c r="L252" s="17" t="s">
        <v>74</v>
      </c>
      <c r="M252" s="19">
        <v>46057</v>
      </c>
      <c r="N252" s="19">
        <v>47122</v>
      </c>
      <c r="O252" s="17" t="s">
        <v>830</v>
      </c>
    </row>
    <row r="253" spans="1:15" x14ac:dyDescent="0.25">
      <c r="A253" s="17" t="s">
        <v>91</v>
      </c>
      <c r="B253" s="17" t="s">
        <v>69</v>
      </c>
      <c r="C253" s="17" t="s">
        <v>70</v>
      </c>
      <c r="D253" s="17"/>
      <c r="E253" s="17" t="s">
        <v>92</v>
      </c>
      <c r="F253" s="17"/>
      <c r="G253" s="17"/>
      <c r="H253" s="17" t="s">
        <v>93</v>
      </c>
      <c r="I253" s="17" t="s">
        <v>73</v>
      </c>
      <c r="J253" s="17" t="s">
        <v>1246</v>
      </c>
      <c r="K253" s="18">
        <v>48</v>
      </c>
      <c r="L253" s="17" t="s">
        <v>74</v>
      </c>
      <c r="M253" s="19">
        <v>46036</v>
      </c>
      <c r="N253" s="19">
        <v>47100</v>
      </c>
      <c r="O253" s="17" t="s">
        <v>830</v>
      </c>
    </row>
    <row r="254" spans="1:15" x14ac:dyDescent="0.25">
      <c r="A254" s="17" t="s">
        <v>107</v>
      </c>
      <c r="B254" s="17" t="s">
        <v>69</v>
      </c>
      <c r="C254" s="17" t="s">
        <v>70</v>
      </c>
      <c r="D254" s="17"/>
      <c r="E254" s="17" t="s">
        <v>111</v>
      </c>
      <c r="F254" s="17"/>
      <c r="G254" s="17"/>
      <c r="H254" s="17" t="s">
        <v>109</v>
      </c>
      <c r="I254" s="17" t="s">
        <v>73</v>
      </c>
      <c r="J254" s="17" t="s">
        <v>1246</v>
      </c>
      <c r="K254" s="18">
        <v>47.28</v>
      </c>
      <c r="L254" s="17" t="s">
        <v>74</v>
      </c>
      <c r="M254" s="19">
        <v>46038</v>
      </c>
      <c r="N254" s="19">
        <v>47115</v>
      </c>
      <c r="O254" s="17" t="s">
        <v>830</v>
      </c>
    </row>
    <row r="255" spans="1:15" x14ac:dyDescent="0.25">
      <c r="A255" s="17" t="s">
        <v>98</v>
      </c>
      <c r="B255" s="17" t="s">
        <v>69</v>
      </c>
      <c r="C255" s="17" t="s">
        <v>70</v>
      </c>
      <c r="D255" s="17"/>
      <c r="E255" s="17" t="s">
        <v>102</v>
      </c>
      <c r="F255" s="17"/>
      <c r="G255" s="17"/>
      <c r="H255" s="17" t="s">
        <v>100</v>
      </c>
      <c r="I255" s="17" t="s">
        <v>73</v>
      </c>
      <c r="J255" s="17" t="s">
        <v>101</v>
      </c>
      <c r="K255" s="18">
        <v>46.08</v>
      </c>
      <c r="L255" s="17" t="s">
        <v>74</v>
      </c>
      <c r="M255" s="19">
        <v>46051</v>
      </c>
      <c r="N255" s="19">
        <v>47118</v>
      </c>
      <c r="O255" s="17" t="s">
        <v>830</v>
      </c>
    </row>
    <row r="256" spans="1:15" x14ac:dyDescent="0.25">
      <c r="A256" s="17" t="s">
        <v>107</v>
      </c>
      <c r="B256" s="17" t="s">
        <v>69</v>
      </c>
      <c r="C256" s="17" t="s">
        <v>70</v>
      </c>
      <c r="D256" s="17"/>
      <c r="E256" s="17" t="s">
        <v>111</v>
      </c>
      <c r="F256" s="17"/>
      <c r="G256" s="17"/>
      <c r="H256" s="17" t="s">
        <v>109</v>
      </c>
      <c r="I256" s="17" t="s">
        <v>73</v>
      </c>
      <c r="J256" s="17" t="s">
        <v>101</v>
      </c>
      <c r="K256" s="18">
        <v>46.08</v>
      </c>
      <c r="L256" s="17" t="s">
        <v>74</v>
      </c>
      <c r="M256" s="19">
        <v>46038</v>
      </c>
      <c r="N256" s="19">
        <v>47115</v>
      </c>
      <c r="O256" s="17" t="s">
        <v>830</v>
      </c>
    </row>
    <row r="257" spans="1:15" x14ac:dyDescent="0.25">
      <c r="A257" s="17" t="s">
        <v>994</v>
      </c>
      <c r="B257" s="17" t="s">
        <v>69</v>
      </c>
      <c r="C257" s="17" t="s">
        <v>70</v>
      </c>
      <c r="D257" s="17"/>
      <c r="E257" s="17" t="s">
        <v>1247</v>
      </c>
      <c r="F257" s="17"/>
      <c r="G257" s="17"/>
      <c r="H257" s="17" t="s">
        <v>996</v>
      </c>
      <c r="I257" s="17" t="s">
        <v>73</v>
      </c>
      <c r="J257" s="17" t="s">
        <v>1248</v>
      </c>
      <c r="K257" s="18">
        <v>94.32</v>
      </c>
      <c r="L257" s="17" t="s">
        <v>74</v>
      </c>
      <c r="M257" s="19">
        <v>46062</v>
      </c>
      <c r="N257" s="19">
        <v>47137</v>
      </c>
      <c r="O257" s="17" t="s">
        <v>830</v>
      </c>
    </row>
    <row r="258" spans="1:15" x14ac:dyDescent="0.25">
      <c r="A258" s="17" t="s">
        <v>10</v>
      </c>
      <c r="B258" s="17" t="s">
        <v>69</v>
      </c>
      <c r="C258" s="17" t="s">
        <v>70</v>
      </c>
      <c r="D258" s="17"/>
      <c r="E258" s="17" t="s">
        <v>409</v>
      </c>
      <c r="F258" s="17"/>
      <c r="G258" s="17"/>
      <c r="H258" s="17" t="s">
        <v>11</v>
      </c>
      <c r="I258" s="17" t="s">
        <v>73</v>
      </c>
      <c r="J258" s="17" t="s">
        <v>529</v>
      </c>
      <c r="K258" s="18">
        <v>260.25</v>
      </c>
      <c r="L258" s="17" t="s">
        <v>74</v>
      </c>
      <c r="M258" s="19">
        <v>46051</v>
      </c>
      <c r="N258" s="19">
        <v>46763</v>
      </c>
      <c r="O258" s="17" t="s">
        <v>830</v>
      </c>
    </row>
    <row r="259" spans="1:15" x14ac:dyDescent="0.25">
      <c r="A259" s="17" t="s">
        <v>530</v>
      </c>
      <c r="B259" s="17" t="s">
        <v>69</v>
      </c>
      <c r="C259" s="17" t="s">
        <v>70</v>
      </c>
      <c r="D259" s="17"/>
      <c r="E259" s="17" t="s">
        <v>532</v>
      </c>
      <c r="F259" s="17"/>
      <c r="G259" s="17"/>
      <c r="H259" s="17" t="s">
        <v>531</v>
      </c>
      <c r="I259" s="17" t="s">
        <v>73</v>
      </c>
      <c r="J259" s="17" t="s">
        <v>533</v>
      </c>
      <c r="K259" s="18">
        <v>243.72</v>
      </c>
      <c r="L259" s="17" t="s">
        <v>74</v>
      </c>
      <c r="M259" s="19">
        <v>46050</v>
      </c>
      <c r="N259" s="19">
        <v>46762</v>
      </c>
      <c r="O259" s="17" t="s">
        <v>830</v>
      </c>
    </row>
    <row r="260" spans="1:15" x14ac:dyDescent="0.25">
      <c r="A260" s="17" t="s">
        <v>13</v>
      </c>
      <c r="B260" s="17" t="s">
        <v>69</v>
      </c>
      <c r="C260" s="17" t="s">
        <v>70</v>
      </c>
      <c r="D260" s="17"/>
      <c r="E260" s="17" t="s">
        <v>1178</v>
      </c>
      <c r="F260" s="17"/>
      <c r="G260" s="17"/>
      <c r="H260" s="17" t="s">
        <v>15</v>
      </c>
      <c r="I260" s="17" t="s">
        <v>73</v>
      </c>
      <c r="J260" s="17" t="s">
        <v>1249</v>
      </c>
      <c r="K260" s="18">
        <v>256.64999999999998</v>
      </c>
      <c r="L260" s="17" t="s">
        <v>74</v>
      </c>
      <c r="M260" s="19">
        <v>46057</v>
      </c>
      <c r="N260" s="19">
        <v>46769</v>
      </c>
      <c r="O260" s="17" t="s">
        <v>830</v>
      </c>
    </row>
    <row r="261" spans="1:15" x14ac:dyDescent="0.25">
      <c r="A261" s="17" t="s">
        <v>311</v>
      </c>
      <c r="B261" s="17" t="s">
        <v>69</v>
      </c>
      <c r="C261" s="17" t="s">
        <v>70</v>
      </c>
      <c r="D261" s="17"/>
      <c r="E261" s="17" t="s">
        <v>312</v>
      </c>
      <c r="F261" s="17"/>
      <c r="G261" s="17"/>
      <c r="H261" s="17" t="s">
        <v>313</v>
      </c>
      <c r="I261" s="17" t="s">
        <v>73</v>
      </c>
      <c r="J261" s="17" t="s">
        <v>314</v>
      </c>
      <c r="K261" s="18">
        <v>271.2</v>
      </c>
      <c r="L261" s="17" t="s">
        <v>74</v>
      </c>
      <c r="M261" s="19">
        <v>45999</v>
      </c>
      <c r="N261" s="19">
        <v>46712</v>
      </c>
      <c r="O261" s="17" t="s">
        <v>830</v>
      </c>
    </row>
    <row r="262" spans="1:15" x14ac:dyDescent="0.25">
      <c r="A262" s="17" t="s">
        <v>2</v>
      </c>
      <c r="B262" s="17" t="s">
        <v>69</v>
      </c>
      <c r="C262" s="17" t="s">
        <v>70</v>
      </c>
      <c r="D262" s="17"/>
      <c r="E262" s="17" t="s">
        <v>633</v>
      </c>
      <c r="F262" s="17"/>
      <c r="G262" s="17"/>
      <c r="H262" s="17" t="s">
        <v>3</v>
      </c>
      <c r="I262" s="17" t="s">
        <v>73</v>
      </c>
      <c r="J262" s="17" t="s">
        <v>634</v>
      </c>
      <c r="K262" s="18">
        <v>250.05</v>
      </c>
      <c r="L262" s="17" t="s">
        <v>74</v>
      </c>
      <c r="M262" s="19">
        <v>46043</v>
      </c>
      <c r="N262" s="19">
        <v>46755</v>
      </c>
      <c r="O262" s="17" t="s">
        <v>830</v>
      </c>
    </row>
    <row r="263" spans="1:15" x14ac:dyDescent="0.25">
      <c r="A263" s="17" t="s">
        <v>297</v>
      </c>
      <c r="B263" s="17" t="s">
        <v>69</v>
      </c>
      <c r="C263" s="17" t="s">
        <v>70</v>
      </c>
      <c r="D263" s="17"/>
      <c r="E263" s="17" t="s">
        <v>302</v>
      </c>
      <c r="F263" s="17"/>
      <c r="G263" s="17"/>
      <c r="H263" s="17" t="s">
        <v>299</v>
      </c>
      <c r="I263" s="17" t="s">
        <v>73</v>
      </c>
      <c r="J263" s="17" t="s">
        <v>303</v>
      </c>
      <c r="K263" s="18">
        <v>245.85</v>
      </c>
      <c r="L263" s="17" t="s">
        <v>74</v>
      </c>
      <c r="M263" s="19">
        <v>46011</v>
      </c>
      <c r="N263" s="19">
        <v>46720</v>
      </c>
      <c r="O263" s="17" t="s">
        <v>830</v>
      </c>
    </row>
    <row r="264" spans="1:15" x14ac:dyDescent="0.25">
      <c r="A264" s="17" t="s">
        <v>623</v>
      </c>
      <c r="B264" s="17" t="s">
        <v>69</v>
      </c>
      <c r="C264" s="17" t="s">
        <v>70</v>
      </c>
      <c r="D264" s="17"/>
      <c r="E264" s="17" t="s">
        <v>628</v>
      </c>
      <c r="F264" s="17"/>
      <c r="G264" s="17"/>
      <c r="H264" s="17" t="s">
        <v>44</v>
      </c>
      <c r="I264" s="17" t="s">
        <v>73</v>
      </c>
      <c r="J264" s="17" t="s">
        <v>541</v>
      </c>
      <c r="K264" s="18">
        <v>255.6</v>
      </c>
      <c r="L264" s="17" t="s">
        <v>74</v>
      </c>
      <c r="M264" s="19">
        <v>46051</v>
      </c>
      <c r="N264" s="19">
        <v>46757</v>
      </c>
      <c r="O264" s="17" t="s">
        <v>830</v>
      </c>
    </row>
    <row r="265" spans="1:15" x14ac:dyDescent="0.25">
      <c r="A265" s="17" t="s">
        <v>22</v>
      </c>
      <c r="B265" s="17" t="s">
        <v>69</v>
      </c>
      <c r="C265" s="17" t="s">
        <v>70</v>
      </c>
      <c r="D265" s="17"/>
      <c r="E265" s="17" t="s">
        <v>346</v>
      </c>
      <c r="F265" s="17"/>
      <c r="G265" s="17"/>
      <c r="H265" s="17" t="s">
        <v>23</v>
      </c>
      <c r="I265" s="17" t="s">
        <v>73</v>
      </c>
      <c r="J265" s="17" t="s">
        <v>347</v>
      </c>
      <c r="K265" s="18">
        <v>248.4</v>
      </c>
      <c r="L265" s="17" t="s">
        <v>74</v>
      </c>
      <c r="M265" s="19">
        <v>46045</v>
      </c>
      <c r="N265" s="19">
        <v>46755</v>
      </c>
      <c r="O265" s="17" t="s">
        <v>830</v>
      </c>
    </row>
    <row r="266" spans="1:15" x14ac:dyDescent="0.25">
      <c r="A266" s="17" t="s">
        <v>518</v>
      </c>
      <c r="B266" s="17" t="s">
        <v>69</v>
      </c>
      <c r="C266" s="17" t="s">
        <v>70</v>
      </c>
      <c r="D266" s="17"/>
      <c r="E266" s="17" t="s">
        <v>519</v>
      </c>
      <c r="F266" s="17"/>
      <c r="G266" s="17"/>
      <c r="H266" s="17" t="s">
        <v>520</v>
      </c>
      <c r="I266" s="17" t="s">
        <v>73</v>
      </c>
      <c r="J266" s="17" t="s">
        <v>467</v>
      </c>
      <c r="K266" s="18">
        <v>145.05000000000001</v>
      </c>
      <c r="L266" s="17" t="s">
        <v>74</v>
      </c>
      <c r="M266" s="19">
        <v>45862</v>
      </c>
      <c r="N266" s="19">
        <v>46568</v>
      </c>
      <c r="O266" s="17" t="s">
        <v>830</v>
      </c>
    </row>
    <row r="267" spans="1:15" x14ac:dyDescent="0.25">
      <c r="A267" s="17" t="s">
        <v>706</v>
      </c>
      <c r="B267" s="17" t="s">
        <v>69</v>
      </c>
      <c r="C267" s="17" t="s">
        <v>70</v>
      </c>
      <c r="D267" s="17"/>
      <c r="E267" s="17" t="s">
        <v>707</v>
      </c>
      <c r="F267" s="17"/>
      <c r="G267" s="17"/>
      <c r="H267" s="17" t="s">
        <v>708</v>
      </c>
      <c r="I267" s="17" t="s">
        <v>73</v>
      </c>
      <c r="J267" s="17" t="s">
        <v>467</v>
      </c>
      <c r="K267" s="18">
        <v>73.5</v>
      </c>
      <c r="L267" s="17" t="s">
        <v>74</v>
      </c>
      <c r="M267" s="19">
        <v>45996</v>
      </c>
      <c r="N267" s="19">
        <v>46712</v>
      </c>
      <c r="O267" s="17" t="s">
        <v>830</v>
      </c>
    </row>
    <row r="268" spans="1:15" x14ac:dyDescent="0.25">
      <c r="A268" s="17" t="s">
        <v>45</v>
      </c>
      <c r="B268" s="17" t="s">
        <v>69</v>
      </c>
      <c r="C268" s="17" t="s">
        <v>70</v>
      </c>
      <c r="D268" s="17"/>
      <c r="E268" s="17" t="s">
        <v>394</v>
      </c>
      <c r="F268" s="17"/>
      <c r="G268" s="17"/>
      <c r="H268" s="17" t="s">
        <v>47</v>
      </c>
      <c r="I268" s="17" t="s">
        <v>73</v>
      </c>
      <c r="J268" s="17" t="s">
        <v>613</v>
      </c>
      <c r="K268" s="18">
        <v>251.7</v>
      </c>
      <c r="L268" s="17" t="s">
        <v>74</v>
      </c>
      <c r="M268" s="19">
        <v>46048</v>
      </c>
      <c r="N268" s="19">
        <v>46758</v>
      </c>
      <c r="O268" s="17" t="s">
        <v>830</v>
      </c>
    </row>
    <row r="269" spans="1:15" x14ac:dyDescent="0.25">
      <c r="A269" s="17" t="s">
        <v>6</v>
      </c>
      <c r="B269" s="17" t="s">
        <v>69</v>
      </c>
      <c r="C269" s="17" t="s">
        <v>70</v>
      </c>
      <c r="D269" s="17"/>
      <c r="E269" s="17" t="s">
        <v>527</v>
      </c>
      <c r="F269" s="17"/>
      <c r="G269" s="17"/>
      <c r="H269" s="17" t="s">
        <v>7</v>
      </c>
      <c r="I269" s="17" t="s">
        <v>73</v>
      </c>
      <c r="J269" s="17" t="s">
        <v>289</v>
      </c>
      <c r="K269" s="18">
        <v>258.75</v>
      </c>
      <c r="L269" s="17" t="s">
        <v>74</v>
      </c>
      <c r="M269" s="19">
        <v>46048</v>
      </c>
      <c r="N269" s="19">
        <v>46755</v>
      </c>
      <c r="O269" s="17" t="s">
        <v>830</v>
      </c>
    </row>
    <row r="270" spans="1:15" x14ac:dyDescent="0.25">
      <c r="A270" s="17" t="s">
        <v>537</v>
      </c>
      <c r="B270" s="17" t="s">
        <v>69</v>
      </c>
      <c r="C270" s="17" t="s">
        <v>70</v>
      </c>
      <c r="D270" s="17"/>
      <c r="E270" s="17" t="s">
        <v>538</v>
      </c>
      <c r="F270" s="17"/>
      <c r="G270" s="17"/>
      <c r="H270" s="17" t="s">
        <v>539</v>
      </c>
      <c r="I270" s="17" t="s">
        <v>73</v>
      </c>
      <c r="J270" s="17" t="s">
        <v>364</v>
      </c>
      <c r="K270" s="18">
        <v>232.95</v>
      </c>
      <c r="L270" s="17" t="s">
        <v>74</v>
      </c>
      <c r="M270" s="19">
        <v>46044</v>
      </c>
      <c r="N270" s="19">
        <v>46755</v>
      </c>
      <c r="O270" s="17" t="s">
        <v>830</v>
      </c>
    </row>
    <row r="271" spans="1:15" x14ac:dyDescent="0.25">
      <c r="A271" s="17" t="s">
        <v>486</v>
      </c>
      <c r="B271" s="17" t="s">
        <v>69</v>
      </c>
      <c r="C271" s="17" t="s">
        <v>70</v>
      </c>
      <c r="D271" s="17"/>
      <c r="E271" s="17" t="s">
        <v>487</v>
      </c>
      <c r="F271" s="17"/>
      <c r="G271" s="17"/>
      <c r="H271" s="17" t="s">
        <v>488</v>
      </c>
      <c r="I271" s="17" t="s">
        <v>73</v>
      </c>
      <c r="J271" s="17" t="s">
        <v>489</v>
      </c>
      <c r="K271" s="18">
        <v>250.8</v>
      </c>
      <c r="L271" s="17" t="s">
        <v>74</v>
      </c>
      <c r="M271" s="19">
        <v>46008</v>
      </c>
      <c r="N271" s="19">
        <v>46715</v>
      </c>
      <c r="O271" s="17" t="s">
        <v>830</v>
      </c>
    </row>
    <row r="272" spans="1:15" x14ac:dyDescent="0.25">
      <c r="A272" s="17" t="s">
        <v>317</v>
      </c>
      <c r="B272" s="17" t="s">
        <v>69</v>
      </c>
      <c r="C272" s="17" t="s">
        <v>70</v>
      </c>
      <c r="D272" s="17"/>
      <c r="E272" s="17" t="s">
        <v>318</v>
      </c>
      <c r="F272" s="17"/>
      <c r="G272" s="17"/>
      <c r="H272" s="17" t="s">
        <v>319</v>
      </c>
      <c r="I272" s="17" t="s">
        <v>73</v>
      </c>
      <c r="J272" s="17" t="s">
        <v>320</v>
      </c>
      <c r="K272" s="18">
        <v>225.45</v>
      </c>
      <c r="L272" s="17" t="s">
        <v>74</v>
      </c>
      <c r="M272" s="19">
        <v>45817</v>
      </c>
      <c r="N272" s="19">
        <v>46525</v>
      </c>
      <c r="O272" s="17" t="s">
        <v>830</v>
      </c>
    </row>
    <row r="273" spans="1:15" x14ac:dyDescent="0.25">
      <c r="A273" s="17" t="s">
        <v>361</v>
      </c>
      <c r="B273" s="17" t="s">
        <v>69</v>
      </c>
      <c r="C273" s="17" t="s">
        <v>70</v>
      </c>
      <c r="D273" s="17"/>
      <c r="E273" s="17" t="s">
        <v>362</v>
      </c>
      <c r="F273" s="17"/>
      <c r="G273" s="17"/>
      <c r="H273" s="17" t="s">
        <v>363</v>
      </c>
      <c r="I273" s="17" t="s">
        <v>73</v>
      </c>
      <c r="J273" s="17" t="s">
        <v>432</v>
      </c>
      <c r="K273" s="18">
        <v>206.4</v>
      </c>
      <c r="L273" s="17" t="s">
        <v>74</v>
      </c>
      <c r="M273" s="19">
        <v>45979</v>
      </c>
      <c r="N273" s="19">
        <v>46686</v>
      </c>
      <c r="O273" s="17" t="s">
        <v>830</v>
      </c>
    </row>
    <row r="274" spans="1:15" x14ac:dyDescent="0.25">
      <c r="A274" s="17" t="s">
        <v>492</v>
      </c>
      <c r="B274" s="17" t="s">
        <v>69</v>
      </c>
      <c r="C274" s="17" t="s">
        <v>70</v>
      </c>
      <c r="D274" s="17"/>
      <c r="E274" s="17" t="s">
        <v>496</v>
      </c>
      <c r="F274" s="17"/>
      <c r="G274" s="17"/>
      <c r="H274" s="17" t="s">
        <v>494</v>
      </c>
      <c r="I274" s="17" t="s">
        <v>73</v>
      </c>
      <c r="J274" s="17" t="s">
        <v>497</v>
      </c>
      <c r="K274" s="18">
        <v>98.46</v>
      </c>
      <c r="L274" s="17" t="s">
        <v>74</v>
      </c>
      <c r="M274" s="19">
        <v>45601</v>
      </c>
      <c r="N274" s="19">
        <v>46287</v>
      </c>
      <c r="O274" s="17" t="s">
        <v>830</v>
      </c>
    </row>
    <row r="275" spans="1:15" x14ac:dyDescent="0.25">
      <c r="A275" s="17" t="s">
        <v>492</v>
      </c>
      <c r="B275" s="17" t="s">
        <v>69</v>
      </c>
      <c r="C275" s="17" t="s">
        <v>70</v>
      </c>
      <c r="D275" s="17"/>
      <c r="E275" s="17" t="s">
        <v>498</v>
      </c>
      <c r="F275" s="17"/>
      <c r="G275" s="17"/>
      <c r="H275" s="17" t="s">
        <v>494</v>
      </c>
      <c r="I275" s="17" t="s">
        <v>73</v>
      </c>
      <c r="J275" s="17" t="s">
        <v>497</v>
      </c>
      <c r="K275" s="18">
        <v>68.58</v>
      </c>
      <c r="L275" s="17" t="s">
        <v>74</v>
      </c>
      <c r="M275" s="19">
        <v>45601</v>
      </c>
      <c r="N275" s="19">
        <v>46295</v>
      </c>
      <c r="O275" s="17" t="s">
        <v>830</v>
      </c>
    </row>
    <row r="276" spans="1:15" x14ac:dyDescent="0.25">
      <c r="A276" s="17" t="s">
        <v>476</v>
      </c>
      <c r="B276" s="17" t="s">
        <v>69</v>
      </c>
      <c r="C276" s="17" t="s">
        <v>70</v>
      </c>
      <c r="D276" s="17"/>
      <c r="E276" s="17" t="s">
        <v>480</v>
      </c>
      <c r="F276" s="17"/>
      <c r="G276" s="17"/>
      <c r="H276" s="17" t="s">
        <v>478</v>
      </c>
      <c r="I276" s="17" t="s">
        <v>73</v>
      </c>
      <c r="J276" s="17" t="s">
        <v>481</v>
      </c>
      <c r="K276" s="18">
        <v>172.65</v>
      </c>
      <c r="L276" s="17" t="s">
        <v>74</v>
      </c>
      <c r="M276" s="19">
        <v>45960</v>
      </c>
      <c r="N276" s="19">
        <v>46667</v>
      </c>
      <c r="O276" s="17" t="s">
        <v>830</v>
      </c>
    </row>
    <row r="277" spans="1:15" x14ac:dyDescent="0.25">
      <c r="A277" s="17" t="s">
        <v>698</v>
      </c>
      <c r="B277" s="17" t="s">
        <v>69</v>
      </c>
      <c r="C277" s="17" t="s">
        <v>70</v>
      </c>
      <c r="D277" s="17"/>
      <c r="E277" s="17" t="s">
        <v>704</v>
      </c>
      <c r="F277" s="17"/>
      <c r="G277" s="17"/>
      <c r="H277" s="17" t="s">
        <v>700</v>
      </c>
      <c r="I277" s="17" t="s">
        <v>73</v>
      </c>
      <c r="J277" s="17" t="s">
        <v>594</v>
      </c>
      <c r="K277" s="18">
        <v>168</v>
      </c>
      <c r="L277" s="17" t="s">
        <v>74</v>
      </c>
      <c r="M277" s="19">
        <v>45938</v>
      </c>
      <c r="N277" s="19">
        <v>46649</v>
      </c>
      <c r="O277" s="17" t="s">
        <v>830</v>
      </c>
    </row>
    <row r="278" spans="1:15" x14ac:dyDescent="0.25">
      <c r="A278" s="17" t="s">
        <v>297</v>
      </c>
      <c r="B278" s="17" t="s">
        <v>69</v>
      </c>
      <c r="C278" s="17" t="s">
        <v>70</v>
      </c>
      <c r="D278" s="17"/>
      <c r="E278" s="17" t="s">
        <v>298</v>
      </c>
      <c r="F278" s="17"/>
      <c r="G278" s="17"/>
      <c r="H278" s="17" t="s">
        <v>299</v>
      </c>
      <c r="I278" s="17" t="s">
        <v>73</v>
      </c>
      <c r="J278" s="17" t="s">
        <v>351</v>
      </c>
      <c r="K278" s="18">
        <v>255.75</v>
      </c>
      <c r="L278" s="17" t="s">
        <v>74</v>
      </c>
      <c r="M278" s="19">
        <v>46048</v>
      </c>
      <c r="N278" s="19">
        <v>46758</v>
      </c>
      <c r="O278" s="17" t="s">
        <v>830</v>
      </c>
    </row>
    <row r="279" spans="1:15" x14ac:dyDescent="0.25">
      <c r="A279" s="17" t="s">
        <v>353</v>
      </c>
      <c r="B279" s="17" t="s">
        <v>69</v>
      </c>
      <c r="C279" s="17" t="s">
        <v>70</v>
      </c>
      <c r="D279" s="17"/>
      <c r="E279" s="17" t="s">
        <v>354</v>
      </c>
      <c r="F279" s="17"/>
      <c r="G279" s="17"/>
      <c r="H279" s="17" t="s">
        <v>349</v>
      </c>
      <c r="I279" s="17" t="s">
        <v>73</v>
      </c>
      <c r="J279" s="17" t="s">
        <v>316</v>
      </c>
      <c r="K279" s="18">
        <v>122.4</v>
      </c>
      <c r="L279" s="17" t="s">
        <v>74</v>
      </c>
      <c r="M279" s="19">
        <v>46051</v>
      </c>
      <c r="N279" s="19">
        <v>46757</v>
      </c>
      <c r="O279" s="17" t="s">
        <v>830</v>
      </c>
    </row>
    <row r="280" spans="1:15" x14ac:dyDescent="0.25">
      <c r="A280" s="17" t="s">
        <v>2</v>
      </c>
      <c r="B280" s="17" t="s">
        <v>69</v>
      </c>
      <c r="C280" s="17" t="s">
        <v>70</v>
      </c>
      <c r="D280" s="17"/>
      <c r="E280" s="17" t="s">
        <v>629</v>
      </c>
      <c r="F280" s="17"/>
      <c r="G280" s="17"/>
      <c r="H280" s="17" t="s">
        <v>3</v>
      </c>
      <c r="I280" s="17" t="s">
        <v>73</v>
      </c>
      <c r="J280" s="17" t="s">
        <v>630</v>
      </c>
      <c r="K280" s="18">
        <v>250.35</v>
      </c>
      <c r="L280" s="17" t="s">
        <v>74</v>
      </c>
      <c r="M280" s="19">
        <v>46029</v>
      </c>
      <c r="N280" s="19">
        <v>46741</v>
      </c>
      <c r="O280" s="17" t="s">
        <v>830</v>
      </c>
    </row>
    <row r="281" spans="1:15" x14ac:dyDescent="0.25">
      <c r="A281" s="17" t="s">
        <v>482</v>
      </c>
      <c r="B281" s="17" t="s">
        <v>69</v>
      </c>
      <c r="C281" s="17" t="s">
        <v>70</v>
      </c>
      <c r="D281" s="17"/>
      <c r="E281" s="17" t="s">
        <v>483</v>
      </c>
      <c r="F281" s="17"/>
      <c r="G281" s="17"/>
      <c r="H281" s="17" t="s">
        <v>484</v>
      </c>
      <c r="I281" s="17" t="s">
        <v>73</v>
      </c>
      <c r="J281" s="17" t="s">
        <v>485</v>
      </c>
      <c r="K281" s="18">
        <v>74.736000000000004</v>
      </c>
      <c r="L281" s="17" t="s">
        <v>74</v>
      </c>
      <c r="M281" s="19">
        <v>45926</v>
      </c>
      <c r="N281" s="19">
        <v>46637</v>
      </c>
      <c r="O281" s="17" t="s">
        <v>830</v>
      </c>
    </row>
    <row r="282" spans="1:15" x14ac:dyDescent="0.25">
      <c r="A282" s="17" t="s">
        <v>507</v>
      </c>
      <c r="B282" s="17" t="s">
        <v>69</v>
      </c>
      <c r="C282" s="17" t="s">
        <v>70</v>
      </c>
      <c r="D282" s="17"/>
      <c r="E282" s="17" t="s">
        <v>511</v>
      </c>
      <c r="F282" s="17"/>
      <c r="G282" s="17"/>
      <c r="H282" s="17" t="s">
        <v>509</v>
      </c>
      <c r="I282" s="17" t="s">
        <v>73</v>
      </c>
      <c r="J282" s="17" t="s">
        <v>485</v>
      </c>
      <c r="K282" s="18">
        <v>246</v>
      </c>
      <c r="L282" s="17" t="s">
        <v>74</v>
      </c>
      <c r="M282" s="19">
        <v>45981</v>
      </c>
      <c r="N282" s="19">
        <v>46691</v>
      </c>
      <c r="O282" s="17" t="s">
        <v>830</v>
      </c>
    </row>
    <row r="283" spans="1:15" x14ac:dyDescent="0.25">
      <c r="A283" s="17" t="s">
        <v>678</v>
      </c>
      <c r="B283" s="17" t="s">
        <v>69</v>
      </c>
      <c r="C283" s="17" t="s">
        <v>70</v>
      </c>
      <c r="D283" s="17"/>
      <c r="E283" s="17" t="s">
        <v>1232</v>
      </c>
      <c r="F283" s="17"/>
      <c r="G283" s="17"/>
      <c r="H283" s="17" t="s">
        <v>680</v>
      </c>
      <c r="I283" s="17" t="s">
        <v>73</v>
      </c>
      <c r="J283" s="17" t="s">
        <v>1280</v>
      </c>
      <c r="K283" s="18">
        <v>228</v>
      </c>
      <c r="L283" s="17" t="s">
        <v>74</v>
      </c>
      <c r="M283" s="19">
        <v>46062</v>
      </c>
      <c r="N283" s="19">
        <v>46771</v>
      </c>
      <c r="O283" s="17" t="s">
        <v>830</v>
      </c>
    </row>
    <row r="284" spans="1:15" x14ac:dyDescent="0.25">
      <c r="A284" s="17" t="s">
        <v>571</v>
      </c>
      <c r="B284" s="17" t="s">
        <v>69</v>
      </c>
      <c r="C284" s="17" t="s">
        <v>70</v>
      </c>
      <c r="D284" s="17"/>
      <c r="E284" s="17" t="s">
        <v>1179</v>
      </c>
      <c r="F284" s="17"/>
      <c r="G284" s="17"/>
      <c r="H284" s="17" t="s">
        <v>573</v>
      </c>
      <c r="I284" s="17" t="s">
        <v>73</v>
      </c>
      <c r="J284" s="17" t="s">
        <v>397</v>
      </c>
      <c r="K284" s="18">
        <v>230.1</v>
      </c>
      <c r="L284" s="17" t="s">
        <v>74</v>
      </c>
      <c r="M284" s="19">
        <v>46057</v>
      </c>
      <c r="N284" s="19">
        <v>46769</v>
      </c>
      <c r="O284" s="17" t="s">
        <v>830</v>
      </c>
    </row>
    <row r="285" spans="1:15" x14ac:dyDescent="0.25">
      <c r="A285" s="17" t="s">
        <v>36</v>
      </c>
      <c r="B285" s="17" t="s">
        <v>69</v>
      </c>
      <c r="C285" s="17" t="s">
        <v>70</v>
      </c>
      <c r="D285" s="17"/>
      <c r="E285" s="17" t="s">
        <v>434</v>
      </c>
      <c r="F285" s="17"/>
      <c r="G285" s="17"/>
      <c r="H285" s="17" t="s">
        <v>38</v>
      </c>
      <c r="I285" s="17" t="s">
        <v>73</v>
      </c>
      <c r="J285" s="17" t="s">
        <v>435</v>
      </c>
      <c r="K285" s="18">
        <v>257.7</v>
      </c>
      <c r="L285" s="17" t="s">
        <v>74</v>
      </c>
      <c r="M285" s="19">
        <v>46031</v>
      </c>
      <c r="N285" s="19">
        <v>46741</v>
      </c>
      <c r="O285" s="17" t="s">
        <v>830</v>
      </c>
    </row>
    <row r="286" spans="1:15" x14ac:dyDescent="0.25">
      <c r="A286" s="17" t="s">
        <v>671</v>
      </c>
      <c r="B286" s="17" t="s">
        <v>69</v>
      </c>
      <c r="C286" s="17" t="s">
        <v>70</v>
      </c>
      <c r="D286" s="17"/>
      <c r="E286" s="17" t="s">
        <v>672</v>
      </c>
      <c r="F286" s="17"/>
      <c r="G286" s="17"/>
      <c r="H286" s="17" t="s">
        <v>673</v>
      </c>
      <c r="I286" s="17" t="s">
        <v>73</v>
      </c>
      <c r="J286" s="17" t="s">
        <v>435</v>
      </c>
      <c r="K286" s="18">
        <v>238.8</v>
      </c>
      <c r="L286" s="17" t="s">
        <v>74</v>
      </c>
      <c r="M286" s="19">
        <v>46036</v>
      </c>
      <c r="N286" s="19">
        <v>46741</v>
      </c>
      <c r="O286" s="17" t="s">
        <v>830</v>
      </c>
    </row>
    <row r="287" spans="1:15" x14ac:dyDescent="0.25">
      <c r="A287" s="17" t="s">
        <v>49</v>
      </c>
      <c r="B287" s="17" t="s">
        <v>69</v>
      </c>
      <c r="C287" s="17" t="s">
        <v>70</v>
      </c>
      <c r="D287" s="17"/>
      <c r="E287" s="17" t="s">
        <v>611</v>
      </c>
      <c r="F287" s="17"/>
      <c r="G287" s="17"/>
      <c r="H287" s="17" t="s">
        <v>44</v>
      </c>
      <c r="I287" s="17" t="s">
        <v>73</v>
      </c>
      <c r="J287" s="17" t="s">
        <v>675</v>
      </c>
      <c r="K287" s="18">
        <v>265.8</v>
      </c>
      <c r="L287" s="17" t="s">
        <v>74</v>
      </c>
      <c r="M287" s="19">
        <v>46051</v>
      </c>
      <c r="N287" s="19">
        <v>46763</v>
      </c>
      <c r="O287" s="17" t="s">
        <v>830</v>
      </c>
    </row>
    <row r="288" spans="1:15" x14ac:dyDescent="0.25">
      <c r="A288" s="17" t="s">
        <v>49</v>
      </c>
      <c r="B288" s="17" t="s">
        <v>69</v>
      </c>
      <c r="C288" s="17" t="s">
        <v>70</v>
      </c>
      <c r="D288" s="17"/>
      <c r="E288" s="17" t="s">
        <v>609</v>
      </c>
      <c r="F288" s="17"/>
      <c r="G288" s="17"/>
      <c r="H288" s="17" t="s">
        <v>44</v>
      </c>
      <c r="I288" s="17" t="s">
        <v>73</v>
      </c>
      <c r="J288" s="17" t="s">
        <v>610</v>
      </c>
      <c r="K288" s="18">
        <v>249.3</v>
      </c>
      <c r="L288" s="17" t="s">
        <v>74</v>
      </c>
      <c r="M288" s="19">
        <v>46044</v>
      </c>
      <c r="N288" s="19">
        <v>46755</v>
      </c>
      <c r="O288" s="17" t="s">
        <v>830</v>
      </c>
    </row>
    <row r="289" spans="1:15" x14ac:dyDescent="0.25">
      <c r="A289" s="17" t="s">
        <v>678</v>
      </c>
      <c r="B289" s="17" t="s">
        <v>69</v>
      </c>
      <c r="C289" s="17" t="s">
        <v>70</v>
      </c>
      <c r="D289" s="17"/>
      <c r="E289" s="17" t="s">
        <v>681</v>
      </c>
      <c r="F289" s="17"/>
      <c r="G289" s="17"/>
      <c r="H289" s="17" t="s">
        <v>680</v>
      </c>
      <c r="I289" s="17" t="s">
        <v>73</v>
      </c>
      <c r="J289" s="17" t="s">
        <v>682</v>
      </c>
      <c r="K289" s="18">
        <v>244.95</v>
      </c>
      <c r="L289" s="17" t="s">
        <v>74</v>
      </c>
      <c r="M289" s="19">
        <v>46008</v>
      </c>
      <c r="N289" s="19">
        <v>46715</v>
      </c>
      <c r="O289" s="17" t="s">
        <v>830</v>
      </c>
    </row>
    <row r="290" spans="1:15" x14ac:dyDescent="0.25">
      <c r="A290" s="17" t="s">
        <v>984</v>
      </c>
      <c r="B290" s="17" t="s">
        <v>69</v>
      </c>
      <c r="C290" s="17" t="s">
        <v>70</v>
      </c>
      <c r="D290" s="17"/>
      <c r="E290" s="17" t="s">
        <v>1250</v>
      </c>
      <c r="F290" s="17"/>
      <c r="G290" s="17"/>
      <c r="H290" s="17" t="s">
        <v>986</v>
      </c>
      <c r="I290" s="17" t="s">
        <v>73</v>
      </c>
      <c r="J290" s="17" t="s">
        <v>90</v>
      </c>
      <c r="K290" s="18">
        <v>136.68</v>
      </c>
      <c r="L290" s="17" t="s">
        <v>74</v>
      </c>
      <c r="M290" s="19">
        <v>46062</v>
      </c>
      <c r="N290" s="19">
        <v>47137</v>
      </c>
      <c r="O290" s="17" t="s">
        <v>830</v>
      </c>
    </row>
    <row r="291" spans="1:15" x14ac:dyDescent="0.25">
      <c r="A291" s="17" t="s">
        <v>75</v>
      </c>
      <c r="B291" s="17" t="s">
        <v>69</v>
      </c>
      <c r="C291" s="17" t="s">
        <v>70</v>
      </c>
      <c r="D291" s="17"/>
      <c r="E291" s="17" t="s">
        <v>80</v>
      </c>
      <c r="F291" s="17"/>
      <c r="G291" s="17"/>
      <c r="H291" s="17" t="s">
        <v>77</v>
      </c>
      <c r="I291" s="17" t="s">
        <v>73</v>
      </c>
      <c r="J291" s="17" t="s">
        <v>81</v>
      </c>
      <c r="K291" s="18">
        <v>69.12</v>
      </c>
      <c r="L291" s="17" t="s">
        <v>74</v>
      </c>
      <c r="M291" s="19">
        <v>46049</v>
      </c>
      <c r="N291" s="19">
        <v>47118</v>
      </c>
      <c r="O291" s="17" t="s">
        <v>830</v>
      </c>
    </row>
    <row r="292" spans="1:15" x14ac:dyDescent="0.25">
      <c r="A292" s="17" t="s">
        <v>122</v>
      </c>
      <c r="B292" s="17" t="s">
        <v>69</v>
      </c>
      <c r="C292" s="17" t="s">
        <v>70</v>
      </c>
      <c r="D292" s="17"/>
      <c r="E292" s="17" t="s">
        <v>1277</v>
      </c>
      <c r="F292" s="17"/>
      <c r="G292" s="17"/>
      <c r="H292" s="17" t="s">
        <v>123</v>
      </c>
      <c r="I292" s="17" t="s">
        <v>73</v>
      </c>
      <c r="J292" s="17" t="s">
        <v>81</v>
      </c>
      <c r="K292" s="18">
        <v>69.12</v>
      </c>
      <c r="L292" s="17" t="s">
        <v>74</v>
      </c>
      <c r="M292" s="19">
        <v>46045</v>
      </c>
      <c r="N292" s="19">
        <v>47118</v>
      </c>
      <c r="O292" s="17" t="s">
        <v>830</v>
      </c>
    </row>
    <row r="293" spans="1:15" x14ac:dyDescent="0.25">
      <c r="A293" s="17" t="s">
        <v>98</v>
      </c>
      <c r="B293" s="17" t="s">
        <v>69</v>
      </c>
      <c r="C293" s="17" t="s">
        <v>70</v>
      </c>
      <c r="D293" s="17"/>
      <c r="E293" s="17" t="s">
        <v>102</v>
      </c>
      <c r="F293" s="17"/>
      <c r="G293" s="17"/>
      <c r="H293" s="17" t="s">
        <v>100</v>
      </c>
      <c r="I293" s="17" t="s">
        <v>73</v>
      </c>
      <c r="J293" s="17" t="s">
        <v>97</v>
      </c>
      <c r="K293" s="18">
        <v>49.92</v>
      </c>
      <c r="L293" s="17" t="s">
        <v>74</v>
      </c>
      <c r="M293" s="19">
        <v>46051</v>
      </c>
      <c r="N293" s="19">
        <v>47118</v>
      </c>
      <c r="O293" s="17" t="s">
        <v>830</v>
      </c>
    </row>
    <row r="294" spans="1:15" x14ac:dyDescent="0.25">
      <c r="A294" s="17" t="s">
        <v>112</v>
      </c>
      <c r="B294" s="17" t="s">
        <v>69</v>
      </c>
      <c r="C294" s="17" t="s">
        <v>70</v>
      </c>
      <c r="D294" s="17"/>
      <c r="E294" s="17" t="s">
        <v>113</v>
      </c>
      <c r="F294" s="17"/>
      <c r="G294" s="17"/>
      <c r="H294" s="17" t="s">
        <v>114</v>
      </c>
      <c r="I294" s="17" t="s">
        <v>73</v>
      </c>
      <c r="J294" s="17" t="s">
        <v>97</v>
      </c>
      <c r="K294" s="18">
        <v>47.64</v>
      </c>
      <c r="L294" s="17" t="s">
        <v>74</v>
      </c>
      <c r="M294" s="19">
        <v>46010</v>
      </c>
      <c r="N294" s="19">
        <v>47083</v>
      </c>
      <c r="O294" s="17" t="s">
        <v>830</v>
      </c>
    </row>
    <row r="295" spans="1:15" x14ac:dyDescent="0.25">
      <c r="A295" s="17" t="s">
        <v>49</v>
      </c>
      <c r="B295" s="17" t="s">
        <v>69</v>
      </c>
      <c r="C295" s="17" t="s">
        <v>70</v>
      </c>
      <c r="D295" s="17"/>
      <c r="E295" s="17" t="s">
        <v>599</v>
      </c>
      <c r="F295" s="17"/>
      <c r="G295" s="17"/>
      <c r="H295" s="17" t="s">
        <v>44</v>
      </c>
      <c r="I295" s="17" t="s">
        <v>73</v>
      </c>
      <c r="J295" s="17" t="s">
        <v>600</v>
      </c>
      <c r="K295" s="18">
        <v>258.3</v>
      </c>
      <c r="L295" s="17" t="s">
        <v>74</v>
      </c>
      <c r="M295" s="19">
        <v>46029</v>
      </c>
      <c r="N295" s="19">
        <v>46741</v>
      </c>
      <c r="O295" s="17" t="s">
        <v>830</v>
      </c>
    </row>
    <row r="296" spans="1:15" x14ac:dyDescent="0.25">
      <c r="A296" s="17" t="s">
        <v>34</v>
      </c>
      <c r="B296" s="17" t="s">
        <v>69</v>
      </c>
      <c r="C296" s="17" t="s">
        <v>70</v>
      </c>
      <c r="D296" s="17"/>
      <c r="E296" s="17" t="s">
        <v>661</v>
      </c>
      <c r="F296" s="17"/>
      <c r="G296" s="17"/>
      <c r="H296" s="17" t="s">
        <v>35</v>
      </c>
      <c r="I296" s="17" t="s">
        <v>73</v>
      </c>
      <c r="J296" s="17" t="s">
        <v>662</v>
      </c>
      <c r="K296" s="18">
        <v>258.89999999999998</v>
      </c>
      <c r="L296" s="17" t="s">
        <v>74</v>
      </c>
      <c r="M296" s="19">
        <v>46038</v>
      </c>
      <c r="N296" s="19">
        <v>46755</v>
      </c>
      <c r="O296" s="17" t="s">
        <v>830</v>
      </c>
    </row>
    <row r="297" spans="1:15" x14ac:dyDescent="0.25">
      <c r="A297" s="17" t="s">
        <v>678</v>
      </c>
      <c r="B297" s="17" t="s">
        <v>69</v>
      </c>
      <c r="C297" s="17" t="s">
        <v>70</v>
      </c>
      <c r="D297" s="17"/>
      <c r="E297" s="17" t="s">
        <v>683</v>
      </c>
      <c r="F297" s="17"/>
      <c r="G297" s="17"/>
      <c r="H297" s="17" t="s">
        <v>680</v>
      </c>
      <c r="I297" s="17" t="s">
        <v>73</v>
      </c>
      <c r="J297" s="17" t="s">
        <v>684</v>
      </c>
      <c r="K297" s="18">
        <v>251.7</v>
      </c>
      <c r="L297" s="17" t="s">
        <v>74</v>
      </c>
      <c r="M297" s="19">
        <v>46044</v>
      </c>
      <c r="N297" s="19">
        <v>46755</v>
      </c>
      <c r="O297" s="17" t="s">
        <v>830</v>
      </c>
    </row>
    <row r="298" spans="1:15" x14ac:dyDescent="0.25">
      <c r="A298" s="17" t="s">
        <v>19</v>
      </c>
      <c r="B298" s="17" t="s">
        <v>69</v>
      </c>
      <c r="C298" s="17" t="s">
        <v>70</v>
      </c>
      <c r="D298" s="17"/>
      <c r="E298" s="17" t="s">
        <v>1180</v>
      </c>
      <c r="F298" s="17"/>
      <c r="G298" s="17"/>
      <c r="H298" s="17" t="s">
        <v>20</v>
      </c>
      <c r="I298" s="17" t="s">
        <v>73</v>
      </c>
      <c r="J298" s="17" t="s">
        <v>378</v>
      </c>
      <c r="K298" s="18">
        <v>256.5</v>
      </c>
      <c r="L298" s="17" t="s">
        <v>74</v>
      </c>
      <c r="M298" s="19">
        <v>46057</v>
      </c>
      <c r="N298" s="19">
        <v>46755</v>
      </c>
      <c r="O298" s="17" t="s">
        <v>830</v>
      </c>
    </row>
    <row r="299" spans="1:15" x14ac:dyDescent="0.25">
      <c r="A299" s="17" t="s">
        <v>671</v>
      </c>
      <c r="B299" s="17" t="s">
        <v>69</v>
      </c>
      <c r="C299" s="17" t="s">
        <v>70</v>
      </c>
      <c r="D299" s="17"/>
      <c r="E299" s="17" t="s">
        <v>1181</v>
      </c>
      <c r="F299" s="17"/>
      <c r="G299" s="17"/>
      <c r="H299" s="17" t="s">
        <v>673</v>
      </c>
      <c r="I299" s="17" t="s">
        <v>73</v>
      </c>
      <c r="J299" s="17" t="s">
        <v>1281</v>
      </c>
      <c r="K299" s="18">
        <v>268.35000000000002</v>
      </c>
      <c r="L299" s="17" t="s">
        <v>74</v>
      </c>
      <c r="M299" s="19">
        <v>46057</v>
      </c>
      <c r="N299" s="19">
        <v>46758</v>
      </c>
      <c r="O299" s="17" t="s">
        <v>830</v>
      </c>
    </row>
    <row r="300" spans="1:15" x14ac:dyDescent="0.25">
      <c r="A300" s="17" t="s">
        <v>49</v>
      </c>
      <c r="B300" s="17" t="s">
        <v>69</v>
      </c>
      <c r="C300" s="17" t="s">
        <v>70</v>
      </c>
      <c r="D300" s="17"/>
      <c r="E300" s="17" t="s">
        <v>601</v>
      </c>
      <c r="F300" s="17"/>
      <c r="G300" s="17"/>
      <c r="H300" s="17" t="s">
        <v>44</v>
      </c>
      <c r="I300" s="17" t="s">
        <v>73</v>
      </c>
      <c r="J300" s="17" t="s">
        <v>602</v>
      </c>
      <c r="K300" s="18">
        <v>255</v>
      </c>
      <c r="L300" s="17" t="s">
        <v>74</v>
      </c>
      <c r="M300" s="19">
        <v>46049</v>
      </c>
      <c r="N300" s="19">
        <v>46763</v>
      </c>
      <c r="O300" s="17" t="s">
        <v>830</v>
      </c>
    </row>
    <row r="301" spans="1:15" x14ac:dyDescent="0.25">
      <c r="A301" s="17" t="s">
        <v>460</v>
      </c>
      <c r="B301" s="17" t="s">
        <v>69</v>
      </c>
      <c r="C301" s="17" t="s">
        <v>70</v>
      </c>
      <c r="D301" s="17"/>
      <c r="E301" s="17" t="s">
        <v>463</v>
      </c>
      <c r="F301" s="17"/>
      <c r="G301" s="17"/>
      <c r="H301" s="17" t="s">
        <v>462</v>
      </c>
      <c r="I301" s="17" t="s">
        <v>73</v>
      </c>
      <c r="J301" s="17" t="s">
        <v>464</v>
      </c>
      <c r="K301" s="18">
        <v>271.5</v>
      </c>
      <c r="L301" s="17" t="s">
        <v>74</v>
      </c>
      <c r="M301" s="19">
        <v>45999</v>
      </c>
      <c r="N301" s="19">
        <v>46699</v>
      </c>
      <c r="O301" s="17" t="s">
        <v>830</v>
      </c>
    </row>
    <row r="302" spans="1:15" x14ac:dyDescent="0.25">
      <c r="A302" s="17" t="s">
        <v>31</v>
      </c>
      <c r="B302" s="17" t="s">
        <v>69</v>
      </c>
      <c r="C302" s="17" t="s">
        <v>70</v>
      </c>
      <c r="D302" s="17"/>
      <c r="E302" s="17" t="s">
        <v>1170</v>
      </c>
      <c r="F302" s="17"/>
      <c r="G302" s="17"/>
      <c r="H302" s="17" t="s">
        <v>32</v>
      </c>
      <c r="I302" s="17" t="s">
        <v>73</v>
      </c>
      <c r="J302" s="17" t="s">
        <v>52</v>
      </c>
      <c r="K302" s="18">
        <v>273.89999999999998</v>
      </c>
      <c r="L302" s="17" t="s">
        <v>74</v>
      </c>
      <c r="M302" s="19">
        <v>46056</v>
      </c>
      <c r="N302" s="19">
        <v>46755</v>
      </c>
      <c r="O302" s="17" t="s">
        <v>830</v>
      </c>
    </row>
    <row r="303" spans="1:15" x14ac:dyDescent="0.25">
      <c r="A303" s="17" t="s">
        <v>671</v>
      </c>
      <c r="B303" s="17" t="s">
        <v>69</v>
      </c>
      <c r="C303" s="17" t="s">
        <v>70</v>
      </c>
      <c r="D303" s="17"/>
      <c r="E303" s="17" t="s">
        <v>676</v>
      </c>
      <c r="F303" s="17"/>
      <c r="G303" s="17"/>
      <c r="H303" s="17" t="s">
        <v>673</v>
      </c>
      <c r="I303" s="17" t="s">
        <v>73</v>
      </c>
      <c r="J303" s="17" t="s">
        <v>677</v>
      </c>
      <c r="K303" s="18">
        <v>287.55</v>
      </c>
      <c r="L303" s="17" t="s">
        <v>74</v>
      </c>
      <c r="M303" s="19">
        <v>46014</v>
      </c>
      <c r="N303" s="19">
        <v>46720</v>
      </c>
      <c r="O303" s="17" t="s">
        <v>830</v>
      </c>
    </row>
    <row r="304" spans="1:15" x14ac:dyDescent="0.25">
      <c r="A304" s="17" t="s">
        <v>563</v>
      </c>
      <c r="B304" s="17" t="s">
        <v>69</v>
      </c>
      <c r="C304" s="17" t="s">
        <v>70</v>
      </c>
      <c r="D304" s="17"/>
      <c r="E304" s="17" t="s">
        <v>564</v>
      </c>
      <c r="F304" s="17"/>
      <c r="G304" s="17"/>
      <c r="H304" s="17" t="s">
        <v>565</v>
      </c>
      <c r="I304" s="17" t="s">
        <v>73</v>
      </c>
      <c r="J304" s="17" t="s">
        <v>566</v>
      </c>
      <c r="K304" s="18">
        <v>255.3</v>
      </c>
      <c r="L304" s="17" t="s">
        <v>74</v>
      </c>
      <c r="M304" s="19">
        <v>46017</v>
      </c>
      <c r="N304" s="19">
        <v>46720</v>
      </c>
      <c r="O304" s="17" t="s">
        <v>830</v>
      </c>
    </row>
    <row r="305" spans="1:15" x14ac:dyDescent="0.25">
      <c r="A305" s="17" t="s">
        <v>2</v>
      </c>
      <c r="B305" s="17" t="s">
        <v>69</v>
      </c>
      <c r="C305" s="17" t="s">
        <v>70</v>
      </c>
      <c r="D305" s="17"/>
      <c r="E305" s="17" t="s">
        <v>1227</v>
      </c>
      <c r="F305" s="17"/>
      <c r="G305" s="17"/>
      <c r="H305" s="17" t="s">
        <v>3</v>
      </c>
      <c r="I305" s="17" t="s">
        <v>73</v>
      </c>
      <c r="J305" s="17" t="s">
        <v>524</v>
      </c>
      <c r="K305" s="18">
        <v>245.55</v>
      </c>
      <c r="L305" s="17" t="s">
        <v>74</v>
      </c>
      <c r="M305" s="19">
        <v>46062</v>
      </c>
      <c r="N305" s="19">
        <v>46771</v>
      </c>
      <c r="O305" s="17" t="s">
        <v>830</v>
      </c>
    </row>
    <row r="306" spans="1:15" x14ac:dyDescent="0.25">
      <c r="A306" s="17" t="s">
        <v>518</v>
      </c>
      <c r="B306" s="17" t="s">
        <v>69</v>
      </c>
      <c r="C306" s="17" t="s">
        <v>70</v>
      </c>
      <c r="D306" s="17"/>
      <c r="E306" s="17" t="s">
        <v>523</v>
      </c>
      <c r="F306" s="17"/>
      <c r="G306" s="17"/>
      <c r="H306" s="17" t="s">
        <v>520</v>
      </c>
      <c r="I306" s="17" t="s">
        <v>73</v>
      </c>
      <c r="J306" s="17" t="s">
        <v>500</v>
      </c>
      <c r="K306" s="18">
        <v>276.14999999999998</v>
      </c>
      <c r="L306" s="17" t="s">
        <v>74</v>
      </c>
      <c r="M306" s="19">
        <v>46017</v>
      </c>
      <c r="N306" s="19">
        <v>46720</v>
      </c>
      <c r="O306" s="17" t="s">
        <v>830</v>
      </c>
    </row>
    <row r="307" spans="1:15" x14ac:dyDescent="0.25">
      <c r="A307" s="17" t="s">
        <v>49</v>
      </c>
      <c r="B307" s="17" t="s">
        <v>69</v>
      </c>
      <c r="C307" s="17" t="s">
        <v>70</v>
      </c>
      <c r="D307" s="17"/>
      <c r="E307" s="17" t="s">
        <v>1171</v>
      </c>
      <c r="F307" s="17"/>
      <c r="G307" s="17"/>
      <c r="H307" s="17" t="s">
        <v>44</v>
      </c>
      <c r="I307" s="17" t="s">
        <v>73</v>
      </c>
      <c r="J307" s="17" t="s">
        <v>705</v>
      </c>
      <c r="K307" s="18">
        <v>267</v>
      </c>
      <c r="L307" s="17" t="s">
        <v>74</v>
      </c>
      <c r="M307" s="19">
        <v>46056</v>
      </c>
      <c r="N307" s="19">
        <v>46769</v>
      </c>
      <c r="O307" s="17" t="s">
        <v>830</v>
      </c>
    </row>
    <row r="308" spans="1:15" x14ac:dyDescent="0.25">
      <c r="A308" s="17" t="s">
        <v>698</v>
      </c>
      <c r="B308" s="17" t="s">
        <v>69</v>
      </c>
      <c r="C308" s="17" t="s">
        <v>70</v>
      </c>
      <c r="D308" s="17"/>
      <c r="E308" s="17" t="s">
        <v>702</v>
      </c>
      <c r="F308" s="17"/>
      <c r="G308" s="17"/>
      <c r="H308" s="17" t="s">
        <v>700</v>
      </c>
      <c r="I308" s="17" t="s">
        <v>73</v>
      </c>
      <c r="J308" s="17" t="s">
        <v>703</v>
      </c>
      <c r="K308" s="18">
        <v>261.45</v>
      </c>
      <c r="L308" s="17" t="s">
        <v>74</v>
      </c>
      <c r="M308" s="19">
        <v>46013</v>
      </c>
      <c r="N308" s="19">
        <v>46720</v>
      </c>
      <c r="O308" s="17" t="s">
        <v>830</v>
      </c>
    </row>
    <row r="309" spans="1:15" x14ac:dyDescent="0.25">
      <c r="A309" s="17" t="s">
        <v>423</v>
      </c>
      <c r="B309" s="17" t="s">
        <v>69</v>
      </c>
      <c r="C309" s="17" t="s">
        <v>70</v>
      </c>
      <c r="D309" s="17"/>
      <c r="E309" s="17" t="s">
        <v>429</v>
      </c>
      <c r="F309" s="17"/>
      <c r="G309" s="17"/>
      <c r="H309" s="17" t="s">
        <v>425</v>
      </c>
      <c r="I309" s="17" t="s">
        <v>73</v>
      </c>
      <c r="J309" s="17" t="s">
        <v>430</v>
      </c>
      <c r="K309" s="18">
        <v>282.60000000000002</v>
      </c>
      <c r="L309" s="17" t="s">
        <v>74</v>
      </c>
      <c r="M309" s="19">
        <v>46013</v>
      </c>
      <c r="N309" s="19">
        <v>46720</v>
      </c>
      <c r="O309" s="17" t="s">
        <v>830</v>
      </c>
    </row>
    <row r="310" spans="1:15" x14ac:dyDescent="0.25">
      <c r="A310" s="17" t="s">
        <v>518</v>
      </c>
      <c r="B310" s="17" t="s">
        <v>69</v>
      </c>
      <c r="C310" s="17" t="s">
        <v>70</v>
      </c>
      <c r="D310" s="17"/>
      <c r="E310" s="17" t="s">
        <v>521</v>
      </c>
      <c r="F310" s="17"/>
      <c r="G310" s="17"/>
      <c r="H310" s="17" t="s">
        <v>520</v>
      </c>
      <c r="I310" s="17" t="s">
        <v>73</v>
      </c>
      <c r="J310" s="17" t="s">
        <v>522</v>
      </c>
      <c r="K310" s="18">
        <v>260.55</v>
      </c>
      <c r="L310" s="17" t="s">
        <v>74</v>
      </c>
      <c r="M310" s="19">
        <v>45967</v>
      </c>
      <c r="N310" s="19">
        <v>46673</v>
      </c>
      <c r="O310" s="17" t="s">
        <v>830</v>
      </c>
    </row>
    <row r="311" spans="1:15" x14ac:dyDescent="0.25">
      <c r="A311" s="17" t="s">
        <v>282</v>
      </c>
      <c r="B311" s="17" t="s">
        <v>69</v>
      </c>
      <c r="C311" s="17" t="s">
        <v>70</v>
      </c>
      <c r="D311" s="17"/>
      <c r="E311" s="17" t="s">
        <v>286</v>
      </c>
      <c r="F311" s="17"/>
      <c r="G311" s="17"/>
      <c r="H311" s="17" t="s">
        <v>284</v>
      </c>
      <c r="I311" s="17" t="s">
        <v>73</v>
      </c>
      <c r="J311" s="17" t="s">
        <v>287</v>
      </c>
      <c r="K311" s="18">
        <v>253.8</v>
      </c>
      <c r="L311" s="17" t="s">
        <v>74</v>
      </c>
      <c r="M311" s="19">
        <v>45985</v>
      </c>
      <c r="N311" s="19">
        <v>46694</v>
      </c>
      <c r="O311" s="17" t="s">
        <v>830</v>
      </c>
    </row>
    <row r="312" spans="1:15" x14ac:dyDescent="0.25">
      <c r="A312" s="17" t="s">
        <v>698</v>
      </c>
      <c r="B312" s="17" t="s">
        <v>69</v>
      </c>
      <c r="C312" s="17" t="s">
        <v>70</v>
      </c>
      <c r="D312" s="17"/>
      <c r="E312" s="17" t="s">
        <v>699</v>
      </c>
      <c r="F312" s="17"/>
      <c r="G312" s="17"/>
      <c r="H312" s="17" t="s">
        <v>700</v>
      </c>
      <c r="I312" s="17" t="s">
        <v>73</v>
      </c>
      <c r="J312" s="17" t="s">
        <v>701</v>
      </c>
      <c r="K312" s="18">
        <v>255.15</v>
      </c>
      <c r="L312" s="17" t="s">
        <v>74</v>
      </c>
      <c r="M312" s="19">
        <v>45988</v>
      </c>
      <c r="N312" s="19">
        <v>46694</v>
      </c>
      <c r="O312" s="17" t="s">
        <v>830</v>
      </c>
    </row>
    <row r="313" spans="1:15" x14ac:dyDescent="0.25">
      <c r="A313" s="17" t="s">
        <v>438</v>
      </c>
      <c r="B313" s="17" t="s">
        <v>69</v>
      </c>
      <c r="C313" s="17" t="s">
        <v>70</v>
      </c>
      <c r="D313" s="17"/>
      <c r="E313" s="17" t="s">
        <v>439</v>
      </c>
      <c r="F313" s="17"/>
      <c r="G313" s="17"/>
      <c r="H313" s="17" t="s">
        <v>440</v>
      </c>
      <c r="I313" s="17" t="s">
        <v>73</v>
      </c>
      <c r="J313" s="17" t="s">
        <v>441</v>
      </c>
      <c r="K313" s="18">
        <v>266.76</v>
      </c>
      <c r="L313" s="17" t="s">
        <v>74</v>
      </c>
      <c r="M313" s="19">
        <v>46043</v>
      </c>
      <c r="N313" s="19">
        <v>46720</v>
      </c>
      <c r="O313" s="17" t="s">
        <v>830</v>
      </c>
    </row>
    <row r="314" spans="1:15" x14ac:dyDescent="0.25">
      <c r="A314" s="17" t="s">
        <v>25</v>
      </c>
      <c r="B314" s="17" t="s">
        <v>69</v>
      </c>
      <c r="C314" s="17" t="s">
        <v>70</v>
      </c>
      <c r="D314" s="17"/>
      <c r="E314" s="17" t="s">
        <v>1177</v>
      </c>
      <c r="F314" s="17"/>
      <c r="G314" s="17"/>
      <c r="H314" s="17" t="s">
        <v>26</v>
      </c>
      <c r="I314" s="17" t="s">
        <v>73</v>
      </c>
      <c r="J314" s="17" t="s">
        <v>334</v>
      </c>
      <c r="K314" s="18">
        <v>257.55</v>
      </c>
      <c r="L314" s="17" t="s">
        <v>74</v>
      </c>
      <c r="M314" s="19">
        <v>46057</v>
      </c>
      <c r="N314" s="19">
        <v>46758</v>
      </c>
      <c r="O314" s="17" t="s">
        <v>830</v>
      </c>
    </row>
    <row r="315" spans="1:15" x14ac:dyDescent="0.25">
      <c r="A315" s="17" t="s">
        <v>423</v>
      </c>
      <c r="B315" s="17" t="s">
        <v>69</v>
      </c>
      <c r="C315" s="17" t="s">
        <v>70</v>
      </c>
      <c r="D315" s="17"/>
      <c r="E315" s="17" t="s">
        <v>424</v>
      </c>
      <c r="F315" s="17"/>
      <c r="G315" s="17"/>
      <c r="H315" s="17" t="s">
        <v>425</v>
      </c>
      <c r="I315" s="17" t="s">
        <v>73</v>
      </c>
      <c r="J315" s="17" t="s">
        <v>426</v>
      </c>
      <c r="K315" s="18">
        <v>255.45</v>
      </c>
      <c r="L315" s="17" t="s">
        <v>74</v>
      </c>
      <c r="M315" s="19">
        <v>45990</v>
      </c>
      <c r="N315" s="19">
        <v>46694</v>
      </c>
      <c r="O315" s="17" t="s">
        <v>830</v>
      </c>
    </row>
    <row r="316" spans="1:15" x14ac:dyDescent="0.25">
      <c r="A316" s="17" t="s">
        <v>49</v>
      </c>
      <c r="B316" s="17" t="s">
        <v>69</v>
      </c>
      <c r="C316" s="17" t="s">
        <v>70</v>
      </c>
      <c r="D316" s="17"/>
      <c r="E316" s="17" t="s">
        <v>605</v>
      </c>
      <c r="F316" s="17"/>
      <c r="G316" s="17"/>
      <c r="H316" s="17" t="s">
        <v>44</v>
      </c>
      <c r="I316" s="17" t="s">
        <v>73</v>
      </c>
      <c r="J316" s="17" t="s">
        <v>606</v>
      </c>
      <c r="K316" s="18">
        <v>248.55</v>
      </c>
      <c r="L316" s="17" t="s">
        <v>74</v>
      </c>
      <c r="M316" s="19">
        <v>46029</v>
      </c>
      <c r="N316" s="19">
        <v>46741</v>
      </c>
      <c r="O316" s="17" t="s">
        <v>830</v>
      </c>
    </row>
    <row r="317" spans="1:15" x14ac:dyDescent="0.25">
      <c r="A317" s="17" t="s">
        <v>49</v>
      </c>
      <c r="B317" s="17" t="s">
        <v>69</v>
      </c>
      <c r="C317" s="17" t="s">
        <v>70</v>
      </c>
      <c r="D317" s="17"/>
      <c r="E317" s="17" t="s">
        <v>607</v>
      </c>
      <c r="F317" s="17"/>
      <c r="G317" s="17"/>
      <c r="H317" s="17" t="s">
        <v>44</v>
      </c>
      <c r="I317" s="17" t="s">
        <v>73</v>
      </c>
      <c r="J317" s="17" t="s">
        <v>608</v>
      </c>
      <c r="K317" s="18">
        <v>253.65</v>
      </c>
      <c r="L317" s="17" t="s">
        <v>74</v>
      </c>
      <c r="M317" s="19">
        <v>46045</v>
      </c>
      <c r="N317" s="19">
        <v>46755</v>
      </c>
      <c r="O317" s="17" t="s">
        <v>830</v>
      </c>
    </row>
    <row r="318" spans="1:15" x14ac:dyDescent="0.25">
      <c r="A318" s="17" t="s">
        <v>25</v>
      </c>
      <c r="B318" s="17" t="s">
        <v>69</v>
      </c>
      <c r="C318" s="17" t="s">
        <v>70</v>
      </c>
      <c r="D318" s="17"/>
      <c r="E318" s="17" t="s">
        <v>382</v>
      </c>
      <c r="F318" s="17"/>
      <c r="G318" s="17"/>
      <c r="H318" s="17" t="s">
        <v>26</v>
      </c>
      <c r="I318" s="17" t="s">
        <v>73</v>
      </c>
      <c r="J318" s="17" t="s">
        <v>383</v>
      </c>
      <c r="K318" s="18">
        <v>263.39999999999998</v>
      </c>
      <c r="L318" s="17" t="s">
        <v>74</v>
      </c>
      <c r="M318" s="19">
        <v>46032</v>
      </c>
      <c r="N318" s="19">
        <v>46741</v>
      </c>
      <c r="O318" s="17" t="s">
        <v>830</v>
      </c>
    </row>
    <row r="319" spans="1:15" x14ac:dyDescent="0.25">
      <c r="A319" s="17" t="s">
        <v>45</v>
      </c>
      <c r="B319" s="17" t="s">
        <v>69</v>
      </c>
      <c r="C319" s="17" t="s">
        <v>70</v>
      </c>
      <c r="D319" s="17"/>
      <c r="E319" s="17" t="s">
        <v>389</v>
      </c>
      <c r="F319" s="17"/>
      <c r="G319" s="17"/>
      <c r="H319" s="17" t="s">
        <v>47</v>
      </c>
      <c r="I319" s="17" t="s">
        <v>73</v>
      </c>
      <c r="J319" s="17" t="s">
        <v>390</v>
      </c>
      <c r="K319" s="18">
        <v>260.25</v>
      </c>
      <c r="L319" s="17" t="s">
        <v>74</v>
      </c>
      <c r="M319" s="19">
        <v>46013</v>
      </c>
      <c r="N319" s="19">
        <v>46720</v>
      </c>
      <c r="O319" s="17" t="s">
        <v>830</v>
      </c>
    </row>
    <row r="320" spans="1:15" x14ac:dyDescent="0.25">
      <c r="A320" s="17" t="s">
        <v>365</v>
      </c>
      <c r="B320" s="17" t="s">
        <v>69</v>
      </c>
      <c r="C320" s="17" t="s">
        <v>70</v>
      </c>
      <c r="D320" s="17"/>
      <c r="E320" s="17" t="s">
        <v>366</v>
      </c>
      <c r="F320" s="17"/>
      <c r="G320" s="17"/>
      <c r="H320" s="17" t="s">
        <v>367</v>
      </c>
      <c r="I320" s="17" t="s">
        <v>73</v>
      </c>
      <c r="J320" s="17" t="s">
        <v>345</v>
      </c>
      <c r="K320" s="18">
        <v>143.85</v>
      </c>
      <c r="L320" s="17" t="s">
        <v>74</v>
      </c>
      <c r="M320" s="19">
        <v>46006</v>
      </c>
      <c r="N320" s="19">
        <v>46715</v>
      </c>
      <c r="O320" s="17" t="s">
        <v>830</v>
      </c>
    </row>
    <row r="321" spans="1:15" x14ac:dyDescent="0.25">
      <c r="A321" s="17" t="s">
        <v>49</v>
      </c>
      <c r="B321" s="17" t="s">
        <v>69</v>
      </c>
      <c r="C321" s="17" t="s">
        <v>70</v>
      </c>
      <c r="D321" s="17"/>
      <c r="E321" s="17" t="s">
        <v>1282</v>
      </c>
      <c r="F321" s="17"/>
      <c r="G321" s="17"/>
      <c r="H321" s="17" t="s">
        <v>44</v>
      </c>
      <c r="I321" s="17" t="s">
        <v>73</v>
      </c>
      <c r="J321" s="17" t="s">
        <v>345</v>
      </c>
      <c r="K321" s="18">
        <v>237.75</v>
      </c>
      <c r="L321" s="17" t="s">
        <v>74</v>
      </c>
      <c r="M321" s="19">
        <v>46072</v>
      </c>
      <c r="N321" s="19">
        <v>46783</v>
      </c>
      <c r="O321" s="17" t="s">
        <v>830</v>
      </c>
    </row>
    <row r="322" spans="1:15" x14ac:dyDescent="0.25">
      <c r="A322" s="17" t="s">
        <v>36</v>
      </c>
      <c r="B322" s="17" t="s">
        <v>69</v>
      </c>
      <c r="C322" s="17" t="s">
        <v>70</v>
      </c>
      <c r="D322" s="17"/>
      <c r="E322" s="17" t="s">
        <v>1159</v>
      </c>
      <c r="F322" s="17"/>
      <c r="G322" s="17"/>
      <c r="H322" s="17" t="s">
        <v>38</v>
      </c>
      <c r="I322" s="17" t="s">
        <v>73</v>
      </c>
      <c r="J322" s="17" t="s">
        <v>393</v>
      </c>
      <c r="K322" s="18">
        <v>273</v>
      </c>
      <c r="L322" s="17" t="s">
        <v>74</v>
      </c>
      <c r="M322" s="19">
        <v>46055</v>
      </c>
      <c r="N322" s="19">
        <v>46758</v>
      </c>
      <c r="O322" s="17" t="s">
        <v>830</v>
      </c>
    </row>
    <row r="323" spans="1:15" x14ac:dyDescent="0.25">
      <c r="A323" s="17" t="s">
        <v>2</v>
      </c>
      <c r="B323" s="17" t="s">
        <v>69</v>
      </c>
      <c r="C323" s="17" t="s">
        <v>70</v>
      </c>
      <c r="D323" s="17"/>
      <c r="E323" s="17" t="s">
        <v>635</v>
      </c>
      <c r="F323" s="17"/>
      <c r="G323" s="17"/>
      <c r="H323" s="17" t="s">
        <v>3</v>
      </c>
      <c r="I323" s="17" t="s">
        <v>73</v>
      </c>
      <c r="J323" s="17" t="s">
        <v>636</v>
      </c>
      <c r="K323" s="18">
        <v>271.64999999999998</v>
      </c>
      <c r="L323" s="17" t="s">
        <v>74</v>
      </c>
      <c r="M323" s="19">
        <v>46008</v>
      </c>
      <c r="N323" s="19">
        <v>46720</v>
      </c>
      <c r="O323" s="17" t="s">
        <v>830</v>
      </c>
    </row>
    <row r="324" spans="1:15" x14ac:dyDescent="0.25">
      <c r="A324" s="17" t="s">
        <v>107</v>
      </c>
      <c r="B324" s="17" t="s">
        <v>69</v>
      </c>
      <c r="C324" s="17" t="s">
        <v>70</v>
      </c>
      <c r="D324" s="17"/>
      <c r="E324" s="17" t="s">
        <v>1174</v>
      </c>
      <c r="F324" s="17"/>
      <c r="G324" s="17"/>
      <c r="H324" s="17" t="s">
        <v>109</v>
      </c>
      <c r="I324" s="17" t="s">
        <v>73</v>
      </c>
      <c r="J324" s="17" t="s">
        <v>638</v>
      </c>
      <c r="K324" s="18">
        <v>136.44</v>
      </c>
      <c r="L324" s="17" t="s">
        <v>74</v>
      </c>
      <c r="M324" s="19">
        <v>46057</v>
      </c>
      <c r="N324" s="19">
        <v>47131</v>
      </c>
      <c r="O324" s="17" t="s">
        <v>830</v>
      </c>
    </row>
    <row r="325" spans="1:15" x14ac:dyDescent="0.25">
      <c r="A325" s="17" t="s">
        <v>122</v>
      </c>
      <c r="B325" s="17" t="s">
        <v>69</v>
      </c>
      <c r="C325" s="17" t="s">
        <v>70</v>
      </c>
      <c r="D325" s="17"/>
      <c r="E325" s="17" t="s">
        <v>125</v>
      </c>
      <c r="F325" s="17"/>
      <c r="G325" s="17"/>
      <c r="H325" s="17" t="s">
        <v>123</v>
      </c>
      <c r="I325" s="17" t="s">
        <v>73</v>
      </c>
      <c r="J325" s="17" t="s">
        <v>126</v>
      </c>
      <c r="K325" s="18">
        <v>140.88</v>
      </c>
      <c r="L325" s="17" t="s">
        <v>74</v>
      </c>
      <c r="M325" s="19">
        <v>46036</v>
      </c>
      <c r="N325" s="19">
        <v>47100</v>
      </c>
      <c r="O325" s="17" t="s">
        <v>830</v>
      </c>
    </row>
    <row r="326" spans="1:15" x14ac:dyDescent="0.25">
      <c r="A326" s="17" t="s">
        <v>744</v>
      </c>
      <c r="B326" s="17" t="s">
        <v>69</v>
      </c>
      <c r="C326" s="17" t="s">
        <v>70</v>
      </c>
      <c r="D326" s="17"/>
      <c r="E326" s="17" t="s">
        <v>748</v>
      </c>
      <c r="F326" s="17"/>
      <c r="G326" s="17"/>
      <c r="H326" s="17" t="s">
        <v>746</v>
      </c>
      <c r="I326" s="17" t="s">
        <v>73</v>
      </c>
      <c r="J326" s="17" t="s">
        <v>747</v>
      </c>
      <c r="K326" s="18">
        <v>193.32</v>
      </c>
      <c r="L326" s="17" t="s">
        <v>74</v>
      </c>
      <c r="M326" s="19">
        <v>46051</v>
      </c>
      <c r="N326" s="19">
        <v>46763</v>
      </c>
      <c r="O326" s="17" t="s">
        <v>830</v>
      </c>
    </row>
    <row r="327" spans="1:15" x14ac:dyDescent="0.25">
      <c r="A327" s="17" t="s">
        <v>1136</v>
      </c>
      <c r="B327" s="17" t="s">
        <v>69</v>
      </c>
      <c r="C327" s="17" t="s">
        <v>70</v>
      </c>
      <c r="D327" s="17"/>
      <c r="E327" s="17" t="s">
        <v>1205</v>
      </c>
      <c r="F327" s="17"/>
      <c r="G327" s="17"/>
      <c r="H327" s="17" t="s">
        <v>1137</v>
      </c>
      <c r="I327" s="17" t="s">
        <v>73</v>
      </c>
      <c r="J327" s="17" t="s">
        <v>761</v>
      </c>
      <c r="K327" s="18">
        <v>59.4</v>
      </c>
      <c r="L327" s="17" t="s">
        <v>74</v>
      </c>
      <c r="M327" s="19">
        <v>46062</v>
      </c>
      <c r="N327" s="19">
        <v>46751</v>
      </c>
      <c r="O327" s="17" t="s">
        <v>830</v>
      </c>
    </row>
    <row r="328" spans="1:15" x14ac:dyDescent="0.25">
      <c r="A328" s="17" t="s">
        <v>788</v>
      </c>
      <c r="B328" s="17" t="s">
        <v>69</v>
      </c>
      <c r="C328" s="17" t="s">
        <v>70</v>
      </c>
      <c r="D328" s="17"/>
      <c r="E328" s="17" t="s">
        <v>1165</v>
      </c>
      <c r="F328" s="17"/>
      <c r="G328" s="17"/>
      <c r="H328" s="17" t="s">
        <v>790</v>
      </c>
      <c r="I328" s="17" t="s">
        <v>73</v>
      </c>
      <c r="J328" s="17" t="s">
        <v>761</v>
      </c>
      <c r="K328" s="18">
        <v>30.6</v>
      </c>
      <c r="L328" s="17" t="s">
        <v>74</v>
      </c>
      <c r="M328" s="19">
        <v>46055</v>
      </c>
      <c r="N328" s="19">
        <v>46763</v>
      </c>
      <c r="O328" s="17" t="s">
        <v>830</v>
      </c>
    </row>
    <row r="329" spans="1:15" x14ac:dyDescent="0.25">
      <c r="A329" s="17" t="s">
        <v>822</v>
      </c>
      <c r="B329" s="17" t="s">
        <v>69</v>
      </c>
      <c r="C329" s="17" t="s">
        <v>70</v>
      </c>
      <c r="D329" s="17"/>
      <c r="E329" s="17" t="s">
        <v>823</v>
      </c>
      <c r="F329" s="17"/>
      <c r="G329" s="17"/>
      <c r="H329" s="17" t="s">
        <v>824</v>
      </c>
      <c r="I329" s="17" t="s">
        <v>73</v>
      </c>
      <c r="J329" s="17" t="s">
        <v>761</v>
      </c>
      <c r="K329" s="18">
        <v>27.216000000000001</v>
      </c>
      <c r="L329" s="17" t="s">
        <v>74</v>
      </c>
      <c r="M329" s="19">
        <v>46009</v>
      </c>
      <c r="N329" s="19">
        <v>46714</v>
      </c>
      <c r="O329" s="17" t="s">
        <v>830</v>
      </c>
    </row>
    <row r="330" spans="1:15" x14ac:dyDescent="0.25">
      <c r="A330" s="17" t="s">
        <v>740</v>
      </c>
      <c r="B330" s="17" t="s">
        <v>69</v>
      </c>
      <c r="C330" s="17" t="s">
        <v>70</v>
      </c>
      <c r="D330" s="17"/>
      <c r="E330" s="17" t="s">
        <v>1191</v>
      </c>
      <c r="F330" s="17"/>
      <c r="G330" s="17"/>
      <c r="H330" s="17" t="s">
        <v>742</v>
      </c>
      <c r="I330" s="17" t="s">
        <v>73</v>
      </c>
      <c r="J330" s="17" t="s">
        <v>743</v>
      </c>
      <c r="K330" s="18">
        <v>97.2</v>
      </c>
      <c r="L330" s="17" t="s">
        <v>74</v>
      </c>
      <c r="M330" s="19">
        <v>46057</v>
      </c>
      <c r="N330" s="19">
        <v>46770</v>
      </c>
      <c r="O330" s="17" t="s">
        <v>830</v>
      </c>
    </row>
    <row r="331" spans="1:15" x14ac:dyDescent="0.25">
      <c r="A331" s="17" t="s">
        <v>765</v>
      </c>
      <c r="B331" s="17" t="s">
        <v>69</v>
      </c>
      <c r="C331" s="17" t="s">
        <v>70</v>
      </c>
      <c r="D331" s="17"/>
      <c r="E331" s="17" t="s">
        <v>766</v>
      </c>
      <c r="F331" s="17"/>
      <c r="G331" s="17"/>
      <c r="H331" s="17" t="s">
        <v>767</v>
      </c>
      <c r="I331" s="17" t="s">
        <v>73</v>
      </c>
      <c r="J331" s="17" t="s">
        <v>768</v>
      </c>
      <c r="K331" s="18">
        <v>97.2</v>
      </c>
      <c r="L331" s="17" t="s">
        <v>74</v>
      </c>
      <c r="M331" s="19">
        <v>46042</v>
      </c>
      <c r="N331" s="19">
        <v>46755</v>
      </c>
      <c r="O331" s="17" t="s">
        <v>830</v>
      </c>
    </row>
    <row r="332" spans="1:15" x14ac:dyDescent="0.25">
      <c r="A332" s="17" t="s">
        <v>779</v>
      </c>
      <c r="B332" s="17" t="s">
        <v>69</v>
      </c>
      <c r="C332" s="17" t="s">
        <v>70</v>
      </c>
      <c r="D332" s="17"/>
      <c r="E332" s="17" t="s">
        <v>780</v>
      </c>
      <c r="F332" s="17"/>
      <c r="G332" s="17"/>
      <c r="H332" s="17" t="s">
        <v>781</v>
      </c>
      <c r="I332" s="17" t="s">
        <v>73</v>
      </c>
      <c r="J332" s="17" t="s">
        <v>768</v>
      </c>
      <c r="K332" s="18">
        <v>88.56</v>
      </c>
      <c r="L332" s="17" t="s">
        <v>74</v>
      </c>
      <c r="M332" s="19">
        <v>46042</v>
      </c>
      <c r="N332" s="19">
        <v>46755</v>
      </c>
      <c r="O332" s="17" t="s">
        <v>830</v>
      </c>
    </row>
    <row r="333" spans="1:15" x14ac:dyDescent="0.25">
      <c r="A333" s="17" t="s">
        <v>712</v>
      </c>
      <c r="B333" s="17" t="s">
        <v>69</v>
      </c>
      <c r="C333" s="17" t="s">
        <v>70</v>
      </c>
      <c r="D333" s="17"/>
      <c r="E333" s="17" t="s">
        <v>1251</v>
      </c>
      <c r="F333" s="17"/>
      <c r="G333" s="17"/>
      <c r="H333" s="17" t="s">
        <v>714</v>
      </c>
      <c r="I333" s="17" t="s">
        <v>73</v>
      </c>
      <c r="J333" s="17" t="s">
        <v>1252</v>
      </c>
      <c r="K333" s="18">
        <v>97.92</v>
      </c>
      <c r="L333" s="17" t="s">
        <v>74</v>
      </c>
      <c r="M333" s="19">
        <v>46062</v>
      </c>
      <c r="N333" s="19">
        <v>46770</v>
      </c>
      <c r="O333" s="17" t="s">
        <v>830</v>
      </c>
    </row>
    <row r="334" spans="1:15" x14ac:dyDescent="0.25">
      <c r="A334" s="17" t="s">
        <v>1112</v>
      </c>
      <c r="B334" s="17" t="s">
        <v>69</v>
      </c>
      <c r="C334" s="17" t="s">
        <v>70</v>
      </c>
      <c r="D334" s="17"/>
      <c r="E334" s="17" t="s">
        <v>1253</v>
      </c>
      <c r="F334" s="17"/>
      <c r="G334" s="17"/>
      <c r="H334" s="17" t="s">
        <v>1114</v>
      </c>
      <c r="I334" s="17" t="s">
        <v>73</v>
      </c>
      <c r="J334" s="17" t="s">
        <v>1252</v>
      </c>
      <c r="K334" s="18">
        <v>96.48</v>
      </c>
      <c r="L334" s="17" t="s">
        <v>74</v>
      </c>
      <c r="M334" s="19">
        <v>46062</v>
      </c>
      <c r="N334" s="19">
        <v>46770</v>
      </c>
      <c r="O334" s="17" t="s">
        <v>830</v>
      </c>
    </row>
    <row r="335" spans="1:15" x14ac:dyDescent="0.25">
      <c r="A335" s="17" t="s">
        <v>706</v>
      </c>
      <c r="B335" s="17" t="s">
        <v>69</v>
      </c>
      <c r="C335" s="17" t="s">
        <v>70</v>
      </c>
      <c r="D335" s="17"/>
      <c r="E335" s="17" t="s">
        <v>1161</v>
      </c>
      <c r="F335" s="17"/>
      <c r="G335" s="17"/>
      <c r="H335" s="17" t="s">
        <v>708</v>
      </c>
      <c r="I335" s="17" t="s">
        <v>73</v>
      </c>
      <c r="J335" s="17" t="s">
        <v>1162</v>
      </c>
      <c r="K335" s="18">
        <v>255.6</v>
      </c>
      <c r="L335" s="17" t="s">
        <v>74</v>
      </c>
      <c r="M335" s="19">
        <v>46055</v>
      </c>
      <c r="N335" s="19">
        <v>46763</v>
      </c>
      <c r="O335" s="17" t="s">
        <v>830</v>
      </c>
    </row>
    <row r="336" spans="1:15" x14ac:dyDescent="0.25">
      <c r="A336" s="17" t="s">
        <v>1031</v>
      </c>
      <c r="B336" s="17" t="s">
        <v>69</v>
      </c>
      <c r="C336" s="17" t="s">
        <v>70</v>
      </c>
      <c r="D336" s="17"/>
      <c r="E336" s="17" t="s">
        <v>1254</v>
      </c>
      <c r="F336" s="17"/>
      <c r="G336" s="17"/>
      <c r="H336" s="17" t="s">
        <v>1033</v>
      </c>
      <c r="I336" s="17" t="s">
        <v>73</v>
      </c>
      <c r="J336" s="17" t="s">
        <v>1255</v>
      </c>
      <c r="K336" s="18">
        <v>158.04</v>
      </c>
      <c r="L336" s="17" t="s">
        <v>74</v>
      </c>
      <c r="M336" s="19">
        <v>46062</v>
      </c>
      <c r="N336" s="19">
        <v>46755</v>
      </c>
      <c r="O336" s="17" t="s">
        <v>830</v>
      </c>
    </row>
    <row r="337" spans="1:15" x14ac:dyDescent="0.25">
      <c r="A337" s="17" t="s">
        <v>757</v>
      </c>
      <c r="B337" s="17" t="s">
        <v>69</v>
      </c>
      <c r="C337" s="17" t="s">
        <v>70</v>
      </c>
      <c r="D337" s="17"/>
      <c r="E337" s="17" t="s">
        <v>759</v>
      </c>
      <c r="F337" s="17"/>
      <c r="G337" s="17"/>
      <c r="H337" s="17" t="s">
        <v>758</v>
      </c>
      <c r="I337" s="17" t="s">
        <v>73</v>
      </c>
      <c r="J337" s="17" t="s">
        <v>719</v>
      </c>
      <c r="K337" s="18">
        <v>112.32</v>
      </c>
      <c r="L337" s="17" t="s">
        <v>74</v>
      </c>
      <c r="M337" s="19">
        <v>46049</v>
      </c>
      <c r="N337" s="19">
        <v>46763</v>
      </c>
      <c r="O337" s="17" t="s">
        <v>830</v>
      </c>
    </row>
    <row r="338" spans="1:15" x14ac:dyDescent="0.25">
      <c r="A338" s="17" t="s">
        <v>769</v>
      </c>
      <c r="B338" s="17" t="s">
        <v>69</v>
      </c>
      <c r="C338" s="17" t="s">
        <v>70</v>
      </c>
      <c r="D338" s="17"/>
      <c r="E338" s="17" t="s">
        <v>772</v>
      </c>
      <c r="F338" s="17"/>
      <c r="G338" s="17"/>
      <c r="H338" s="17" t="s">
        <v>771</v>
      </c>
      <c r="I338" s="17" t="s">
        <v>73</v>
      </c>
      <c r="J338" s="17" t="s">
        <v>719</v>
      </c>
      <c r="K338" s="18">
        <v>95.76</v>
      </c>
      <c r="L338" s="17" t="s">
        <v>74</v>
      </c>
      <c r="M338" s="19">
        <v>46051</v>
      </c>
      <c r="N338" s="19">
        <v>46763</v>
      </c>
      <c r="O338" s="17" t="s">
        <v>830</v>
      </c>
    </row>
    <row r="339" spans="1:15" x14ac:dyDescent="0.25">
      <c r="A339" s="17" t="s">
        <v>788</v>
      </c>
      <c r="B339" s="17" t="s">
        <v>69</v>
      </c>
      <c r="C339" s="17" t="s">
        <v>70</v>
      </c>
      <c r="D339" s="17"/>
      <c r="E339" s="17" t="s">
        <v>792</v>
      </c>
      <c r="F339" s="17"/>
      <c r="G339" s="17"/>
      <c r="H339" s="17" t="s">
        <v>790</v>
      </c>
      <c r="I339" s="17" t="s">
        <v>73</v>
      </c>
      <c r="J339" s="17" t="s">
        <v>719</v>
      </c>
      <c r="K339" s="18">
        <v>114.84</v>
      </c>
      <c r="L339" s="17" t="s">
        <v>74</v>
      </c>
      <c r="M339" s="19">
        <v>46000</v>
      </c>
      <c r="N339" s="19">
        <v>46714</v>
      </c>
      <c r="O339" s="17" t="s">
        <v>830</v>
      </c>
    </row>
    <row r="340" spans="1:15" x14ac:dyDescent="0.25">
      <c r="A340" s="17" t="s">
        <v>712</v>
      </c>
      <c r="B340" s="17" t="s">
        <v>69</v>
      </c>
      <c r="C340" s="17" t="s">
        <v>70</v>
      </c>
      <c r="D340" s="17"/>
      <c r="E340" s="17" t="s">
        <v>713</v>
      </c>
      <c r="F340" s="17"/>
      <c r="G340" s="17"/>
      <c r="H340" s="17" t="s">
        <v>714</v>
      </c>
      <c r="I340" s="17" t="s">
        <v>73</v>
      </c>
      <c r="J340" s="17" t="s">
        <v>715</v>
      </c>
      <c r="K340" s="18">
        <v>47.52</v>
      </c>
      <c r="L340" s="17" t="s">
        <v>74</v>
      </c>
      <c r="M340" s="19">
        <v>45999</v>
      </c>
      <c r="N340" s="19">
        <v>46712</v>
      </c>
      <c r="O340" s="17" t="s">
        <v>830</v>
      </c>
    </row>
    <row r="341" spans="1:15" x14ac:dyDescent="0.25">
      <c r="A341" s="17" t="s">
        <v>716</v>
      </c>
      <c r="B341" s="17" t="s">
        <v>69</v>
      </c>
      <c r="C341" s="17" t="s">
        <v>70</v>
      </c>
      <c r="D341" s="17"/>
      <c r="E341" s="17" t="s">
        <v>1233</v>
      </c>
      <c r="F341" s="17"/>
      <c r="G341" s="17"/>
      <c r="H341" s="17" t="s">
        <v>718</v>
      </c>
      <c r="I341" s="17" t="s">
        <v>73</v>
      </c>
      <c r="J341" s="17" t="s">
        <v>715</v>
      </c>
      <c r="K341" s="18">
        <v>29.16</v>
      </c>
      <c r="L341" s="17" t="s">
        <v>74</v>
      </c>
      <c r="M341" s="19">
        <v>46066</v>
      </c>
      <c r="N341" s="19">
        <v>46785</v>
      </c>
      <c r="O341" s="17" t="s">
        <v>830</v>
      </c>
    </row>
    <row r="342" spans="1:15" x14ac:dyDescent="0.25">
      <c r="A342" s="17" t="s">
        <v>782</v>
      </c>
      <c r="B342" s="17" t="s">
        <v>69</v>
      </c>
      <c r="C342" s="17" t="s">
        <v>70</v>
      </c>
      <c r="D342" s="17"/>
      <c r="E342" s="17" t="s">
        <v>1239</v>
      </c>
      <c r="F342" s="17"/>
      <c r="G342" s="17"/>
      <c r="H342" s="17" t="s">
        <v>784</v>
      </c>
      <c r="I342" s="17" t="s">
        <v>73</v>
      </c>
      <c r="J342" s="17" t="s">
        <v>715</v>
      </c>
      <c r="K342" s="18">
        <v>18.72</v>
      </c>
      <c r="L342" s="17" t="s">
        <v>74</v>
      </c>
      <c r="M342" s="19">
        <v>46066</v>
      </c>
      <c r="N342" s="19">
        <v>46785</v>
      </c>
      <c r="O342" s="17" t="s">
        <v>830</v>
      </c>
    </row>
    <row r="343" spans="1:15" x14ac:dyDescent="0.25">
      <c r="A343" s="17" t="s">
        <v>837</v>
      </c>
      <c r="B343" s="17" t="s">
        <v>69</v>
      </c>
      <c r="C343" s="17" t="s">
        <v>70</v>
      </c>
      <c r="D343" s="17"/>
      <c r="E343" s="17" t="s">
        <v>1240</v>
      </c>
      <c r="F343" s="17"/>
      <c r="G343" s="17"/>
      <c r="H343" s="17" t="s">
        <v>839</v>
      </c>
      <c r="I343" s="17" t="s">
        <v>73</v>
      </c>
      <c r="J343" s="17" t="s">
        <v>715</v>
      </c>
      <c r="K343" s="18">
        <v>46.92</v>
      </c>
      <c r="L343" s="17" t="s">
        <v>74</v>
      </c>
      <c r="M343" s="19">
        <v>46066</v>
      </c>
      <c r="N343" s="19">
        <v>46782</v>
      </c>
      <c r="O343" s="17" t="s">
        <v>830</v>
      </c>
    </row>
    <row r="344" spans="1:15" x14ac:dyDescent="0.25">
      <c r="A344" s="17" t="s">
        <v>819</v>
      </c>
      <c r="B344" s="17" t="s">
        <v>69</v>
      </c>
      <c r="C344" s="17" t="s">
        <v>70</v>
      </c>
      <c r="D344" s="17"/>
      <c r="E344" s="17" t="s">
        <v>820</v>
      </c>
      <c r="F344" s="17"/>
      <c r="G344" s="17"/>
      <c r="H344" s="17" t="s">
        <v>821</v>
      </c>
      <c r="I344" s="17" t="s">
        <v>73</v>
      </c>
      <c r="J344" s="17" t="s">
        <v>715</v>
      </c>
      <c r="K344" s="18">
        <v>43.68</v>
      </c>
      <c r="L344" s="17" t="s">
        <v>74</v>
      </c>
      <c r="M344" s="19">
        <v>45930</v>
      </c>
      <c r="N344" s="19">
        <v>46639</v>
      </c>
      <c r="O344" s="17" t="s">
        <v>830</v>
      </c>
    </row>
    <row r="345" spans="1:15" x14ac:dyDescent="0.25">
      <c r="A345" s="17" t="s">
        <v>154</v>
      </c>
      <c r="B345" s="17" t="s">
        <v>69</v>
      </c>
      <c r="C345" s="17" t="s">
        <v>70</v>
      </c>
      <c r="D345" s="17"/>
      <c r="E345" s="17" t="s">
        <v>157</v>
      </c>
      <c r="F345" s="17"/>
      <c r="G345" s="17"/>
      <c r="H345" s="17" t="s">
        <v>136</v>
      </c>
      <c r="I345" s="17" t="s">
        <v>73</v>
      </c>
      <c r="J345" s="17" t="s">
        <v>158</v>
      </c>
      <c r="K345" s="18">
        <v>270</v>
      </c>
      <c r="L345" s="17" t="s">
        <v>74</v>
      </c>
      <c r="M345" s="19">
        <v>45996</v>
      </c>
      <c r="N345" s="19">
        <v>46256</v>
      </c>
      <c r="O345" s="17" t="s">
        <v>830</v>
      </c>
    </row>
    <row r="346" spans="1:15" x14ac:dyDescent="0.25">
      <c r="A346" s="17" t="s">
        <v>623</v>
      </c>
      <c r="B346" s="17" t="s">
        <v>69</v>
      </c>
      <c r="C346" s="17" t="s">
        <v>70</v>
      </c>
      <c r="D346" s="17"/>
      <c r="E346" s="17" t="s">
        <v>624</v>
      </c>
      <c r="F346" s="17"/>
      <c r="G346" s="17"/>
      <c r="H346" s="17" t="s">
        <v>44</v>
      </c>
      <c r="I346" s="17" t="s">
        <v>73</v>
      </c>
      <c r="J346" s="17" t="s">
        <v>625</v>
      </c>
      <c r="K346" s="18">
        <v>255.6</v>
      </c>
      <c r="L346" s="17" t="s">
        <v>74</v>
      </c>
      <c r="M346" s="19">
        <v>46010</v>
      </c>
      <c r="N346" s="19">
        <v>46720</v>
      </c>
      <c r="O346" s="17" t="s">
        <v>830</v>
      </c>
    </row>
    <row r="347" spans="1:15" x14ac:dyDescent="0.25">
      <c r="A347" s="17" t="s">
        <v>134</v>
      </c>
      <c r="B347" s="17" t="s">
        <v>69</v>
      </c>
      <c r="C347" s="17" t="s">
        <v>70</v>
      </c>
      <c r="D347" s="17"/>
      <c r="E347" s="17" t="s">
        <v>1217</v>
      </c>
      <c r="F347" s="17"/>
      <c r="G347" s="17"/>
      <c r="H347" s="17" t="s">
        <v>136</v>
      </c>
      <c r="I347" s="17" t="s">
        <v>73</v>
      </c>
      <c r="J347" s="17" t="s">
        <v>1283</v>
      </c>
      <c r="K347" s="18">
        <v>280</v>
      </c>
      <c r="L347" s="17" t="s">
        <v>74</v>
      </c>
      <c r="M347" s="19">
        <v>46062</v>
      </c>
      <c r="N347" s="19">
        <v>46328</v>
      </c>
      <c r="O347" s="17" t="s">
        <v>830</v>
      </c>
    </row>
    <row r="348" spans="1:15" x14ac:dyDescent="0.25">
      <c r="A348" s="17" t="s">
        <v>154</v>
      </c>
      <c r="B348" s="17" t="s">
        <v>69</v>
      </c>
      <c r="C348" s="17" t="s">
        <v>70</v>
      </c>
      <c r="D348" s="17"/>
      <c r="E348" s="17" t="s">
        <v>156</v>
      </c>
      <c r="F348" s="17"/>
      <c r="G348" s="17"/>
      <c r="H348" s="17" t="s">
        <v>136</v>
      </c>
      <c r="I348" s="17" t="s">
        <v>73</v>
      </c>
      <c r="J348" s="17" t="s">
        <v>1157</v>
      </c>
      <c r="K348" s="18">
        <v>283</v>
      </c>
      <c r="L348" s="17" t="s">
        <v>74</v>
      </c>
      <c r="M348" s="19">
        <v>46032</v>
      </c>
      <c r="N348" s="19">
        <v>46298</v>
      </c>
      <c r="O348" s="17" t="s">
        <v>830</v>
      </c>
    </row>
    <row r="349" spans="1:15" x14ac:dyDescent="0.25">
      <c r="A349" s="17" t="s">
        <v>645</v>
      </c>
      <c r="B349" s="17" t="s">
        <v>69</v>
      </c>
      <c r="C349" s="17" t="s">
        <v>70</v>
      </c>
      <c r="D349" s="17"/>
      <c r="E349" s="17" t="s">
        <v>646</v>
      </c>
      <c r="F349" s="17"/>
      <c r="G349" s="17"/>
      <c r="H349" s="17" t="s">
        <v>40</v>
      </c>
      <c r="I349" s="17" t="s">
        <v>73</v>
      </c>
      <c r="J349" s="17" t="s">
        <v>647</v>
      </c>
      <c r="K349" s="18">
        <v>262.8</v>
      </c>
      <c r="L349" s="17" t="s">
        <v>74</v>
      </c>
      <c r="M349" s="19">
        <v>46008</v>
      </c>
      <c r="N349" s="19">
        <v>46720</v>
      </c>
      <c r="O349" s="17" t="s">
        <v>830</v>
      </c>
    </row>
    <row r="350" spans="1:15" x14ac:dyDescent="0.25">
      <c r="A350" s="17" t="s">
        <v>154</v>
      </c>
      <c r="B350" s="17" t="s">
        <v>69</v>
      </c>
      <c r="C350" s="17" t="s">
        <v>70</v>
      </c>
      <c r="D350" s="17"/>
      <c r="E350" s="17" t="s">
        <v>160</v>
      </c>
      <c r="F350" s="17"/>
      <c r="G350" s="17"/>
      <c r="H350" s="17" t="s">
        <v>136</v>
      </c>
      <c r="I350" s="17" t="s">
        <v>73</v>
      </c>
      <c r="J350" s="17" t="s">
        <v>161</v>
      </c>
      <c r="K350" s="18">
        <v>280</v>
      </c>
      <c r="L350" s="17" t="s">
        <v>74</v>
      </c>
      <c r="M350" s="19">
        <v>46003</v>
      </c>
      <c r="N350" s="19">
        <v>46256</v>
      </c>
      <c r="O350" s="17" t="s">
        <v>830</v>
      </c>
    </row>
    <row r="351" spans="1:15" x14ac:dyDescent="0.25">
      <c r="A351" s="17" t="s">
        <v>154</v>
      </c>
      <c r="B351" s="17" t="s">
        <v>69</v>
      </c>
      <c r="C351" s="17" t="s">
        <v>70</v>
      </c>
      <c r="D351" s="17"/>
      <c r="E351" s="17" t="s">
        <v>162</v>
      </c>
      <c r="F351" s="17"/>
      <c r="G351" s="17"/>
      <c r="H351" s="17" t="s">
        <v>136</v>
      </c>
      <c r="I351" s="17" t="s">
        <v>73</v>
      </c>
      <c r="J351" s="17" t="s">
        <v>163</v>
      </c>
      <c r="K351" s="18">
        <v>180</v>
      </c>
      <c r="L351" s="17" t="s">
        <v>74</v>
      </c>
      <c r="M351" s="19">
        <v>46013</v>
      </c>
      <c r="N351" s="19">
        <v>46271</v>
      </c>
      <c r="O351" s="17" t="s">
        <v>830</v>
      </c>
    </row>
    <row r="352" spans="1:15" x14ac:dyDescent="0.25">
      <c r="A352" s="17" t="s">
        <v>134</v>
      </c>
      <c r="B352" s="17" t="s">
        <v>69</v>
      </c>
      <c r="C352" s="17" t="s">
        <v>70</v>
      </c>
      <c r="D352" s="17"/>
      <c r="E352" s="17" t="s">
        <v>142</v>
      </c>
      <c r="F352" s="17"/>
      <c r="G352" s="17"/>
      <c r="H352" s="17" t="s">
        <v>136</v>
      </c>
      <c r="I352" s="17" t="s">
        <v>73</v>
      </c>
      <c r="J352" s="17" t="s">
        <v>149</v>
      </c>
      <c r="K352" s="18">
        <v>280</v>
      </c>
      <c r="L352" s="17" t="s">
        <v>74</v>
      </c>
      <c r="M352" s="19">
        <v>46008</v>
      </c>
      <c r="N352" s="19">
        <v>46271</v>
      </c>
      <c r="O352" s="17" t="s">
        <v>830</v>
      </c>
    </row>
    <row r="353" spans="1:15" x14ac:dyDescent="0.25">
      <c r="A353" s="17" t="s">
        <v>134</v>
      </c>
      <c r="B353" s="17" t="s">
        <v>69</v>
      </c>
      <c r="C353" s="17" t="s">
        <v>70</v>
      </c>
      <c r="D353" s="17"/>
      <c r="E353" s="17" t="s">
        <v>152</v>
      </c>
      <c r="F353" s="17"/>
      <c r="G353" s="17"/>
      <c r="H353" s="17" t="s">
        <v>136</v>
      </c>
      <c r="I353" s="17" t="s">
        <v>73</v>
      </c>
      <c r="J353" s="17" t="s">
        <v>153</v>
      </c>
      <c r="K353" s="18">
        <v>280.5</v>
      </c>
      <c r="L353" s="17" t="s">
        <v>74</v>
      </c>
      <c r="M353" s="19">
        <v>45981</v>
      </c>
      <c r="N353" s="19">
        <v>46234</v>
      </c>
      <c r="O353" s="17" t="s">
        <v>830</v>
      </c>
    </row>
    <row r="354" spans="1:15" x14ac:dyDescent="0.25">
      <c r="A354" s="17" t="s">
        <v>42</v>
      </c>
      <c r="B354" s="17" t="s">
        <v>69</v>
      </c>
      <c r="C354" s="17" t="s">
        <v>70</v>
      </c>
      <c r="D354" s="17"/>
      <c r="E354" s="17" t="s">
        <v>616</v>
      </c>
      <c r="F354" s="17"/>
      <c r="G354" s="17"/>
      <c r="H354" s="17" t="s">
        <v>44</v>
      </c>
      <c r="I354" s="17" t="s">
        <v>73</v>
      </c>
      <c r="J354" s="17" t="s">
        <v>617</v>
      </c>
      <c r="K354" s="18">
        <v>268.56</v>
      </c>
      <c r="L354" s="17" t="s">
        <v>74</v>
      </c>
      <c r="M354" s="19">
        <v>46034</v>
      </c>
      <c r="N354" s="19">
        <v>46741</v>
      </c>
      <c r="O354" s="17" t="s">
        <v>830</v>
      </c>
    </row>
    <row r="355" spans="1:15" x14ac:dyDescent="0.25">
      <c r="A355" s="17" t="s">
        <v>588</v>
      </c>
      <c r="B355" s="17" t="s">
        <v>69</v>
      </c>
      <c r="C355" s="17" t="s">
        <v>70</v>
      </c>
      <c r="D355" s="17"/>
      <c r="E355" s="17" t="s">
        <v>597</v>
      </c>
      <c r="F355" s="17"/>
      <c r="G355" s="17"/>
      <c r="H355" s="17" t="s">
        <v>590</v>
      </c>
      <c r="I355" s="17" t="s">
        <v>73</v>
      </c>
      <c r="J355" s="17" t="s">
        <v>598</v>
      </c>
      <c r="K355" s="18">
        <v>252</v>
      </c>
      <c r="L355" s="17" t="s">
        <v>74</v>
      </c>
      <c r="M355" s="19">
        <v>45993</v>
      </c>
      <c r="N355" s="19">
        <v>46705</v>
      </c>
      <c r="O355" s="17" t="s">
        <v>830</v>
      </c>
    </row>
    <row r="356" spans="1:15" x14ac:dyDescent="0.25">
      <c r="A356" s="17" t="s">
        <v>451</v>
      </c>
      <c r="B356" s="17" t="s">
        <v>69</v>
      </c>
      <c r="C356" s="17" t="s">
        <v>70</v>
      </c>
      <c r="D356" s="17"/>
      <c r="E356" s="17" t="s">
        <v>454</v>
      </c>
      <c r="F356" s="17"/>
      <c r="G356" s="17"/>
      <c r="H356" s="17" t="s">
        <v>453</v>
      </c>
      <c r="I356" s="17" t="s">
        <v>73</v>
      </c>
      <c r="J356" s="17" t="s">
        <v>455</v>
      </c>
      <c r="K356" s="18">
        <v>244.5</v>
      </c>
      <c r="L356" s="17" t="s">
        <v>74</v>
      </c>
      <c r="M356" s="19">
        <v>46042</v>
      </c>
      <c r="N356" s="19">
        <v>46755</v>
      </c>
      <c r="O356" s="17" t="s">
        <v>830</v>
      </c>
    </row>
    <row r="357" spans="1:15" x14ac:dyDescent="0.25">
      <c r="A357" s="17" t="s">
        <v>588</v>
      </c>
      <c r="B357" s="17" t="s">
        <v>69</v>
      </c>
      <c r="C357" s="17" t="s">
        <v>70</v>
      </c>
      <c r="D357" s="17"/>
      <c r="E357" s="17" t="s">
        <v>595</v>
      </c>
      <c r="F357" s="17"/>
      <c r="G357" s="17"/>
      <c r="H357" s="17" t="s">
        <v>590</v>
      </c>
      <c r="I357" s="17" t="s">
        <v>73</v>
      </c>
      <c r="J357" s="17" t="s">
        <v>596</v>
      </c>
      <c r="K357" s="18">
        <v>238.35</v>
      </c>
      <c r="L357" s="17" t="s">
        <v>74</v>
      </c>
      <c r="M357" s="19">
        <v>45967</v>
      </c>
      <c r="N357" s="19">
        <v>46673</v>
      </c>
      <c r="O357" s="17" t="s">
        <v>830</v>
      </c>
    </row>
    <row r="358" spans="1:15" x14ac:dyDescent="0.25">
      <c r="A358" s="17" t="s">
        <v>571</v>
      </c>
      <c r="B358" s="17" t="s">
        <v>69</v>
      </c>
      <c r="C358" s="17" t="s">
        <v>70</v>
      </c>
      <c r="D358" s="17"/>
      <c r="E358" s="17" t="s">
        <v>575</v>
      </c>
      <c r="F358" s="17"/>
      <c r="G358" s="17"/>
      <c r="H358" s="17" t="s">
        <v>573</v>
      </c>
      <c r="I358" s="17" t="s">
        <v>73</v>
      </c>
      <c r="J358" s="17" t="s">
        <v>576</v>
      </c>
      <c r="K358" s="18">
        <v>245.4</v>
      </c>
      <c r="L358" s="17" t="s">
        <v>74</v>
      </c>
      <c r="M358" s="19">
        <v>46043</v>
      </c>
      <c r="N358" s="19">
        <v>46758</v>
      </c>
      <c r="O358" s="17" t="s">
        <v>830</v>
      </c>
    </row>
    <row r="359" spans="1:15" x14ac:dyDescent="0.25">
      <c r="A359" s="17" t="s">
        <v>134</v>
      </c>
      <c r="B359" s="17" t="s">
        <v>69</v>
      </c>
      <c r="C359" s="17" t="s">
        <v>70</v>
      </c>
      <c r="D359" s="17"/>
      <c r="E359" s="17" t="s">
        <v>138</v>
      </c>
      <c r="F359" s="17"/>
      <c r="G359" s="17"/>
      <c r="H359" s="17" t="s">
        <v>136</v>
      </c>
      <c r="I359" s="17" t="s">
        <v>73</v>
      </c>
      <c r="J359" s="17" t="s">
        <v>139</v>
      </c>
      <c r="K359" s="18">
        <v>255</v>
      </c>
      <c r="L359" s="17" t="s">
        <v>74</v>
      </c>
      <c r="M359" s="19">
        <v>46030</v>
      </c>
      <c r="N359" s="19">
        <v>46298</v>
      </c>
      <c r="O359" s="17" t="s">
        <v>830</v>
      </c>
    </row>
    <row r="360" spans="1:15" x14ac:dyDescent="0.25">
      <c r="A360" s="17" t="s">
        <v>134</v>
      </c>
      <c r="B360" s="17" t="s">
        <v>69</v>
      </c>
      <c r="C360" s="17" t="s">
        <v>70</v>
      </c>
      <c r="D360" s="17"/>
      <c r="E360" s="17" t="s">
        <v>150</v>
      </c>
      <c r="F360" s="17"/>
      <c r="G360" s="17"/>
      <c r="H360" s="17" t="s">
        <v>136</v>
      </c>
      <c r="I360" s="17" t="s">
        <v>73</v>
      </c>
      <c r="J360" s="17" t="s">
        <v>151</v>
      </c>
      <c r="K360" s="18">
        <v>280</v>
      </c>
      <c r="L360" s="17" t="s">
        <v>74</v>
      </c>
      <c r="M360" s="19">
        <v>46031</v>
      </c>
      <c r="N360" s="19">
        <v>46298</v>
      </c>
      <c r="O360" s="17" t="s">
        <v>830</v>
      </c>
    </row>
    <row r="361" spans="1:15" x14ac:dyDescent="0.25">
      <c r="A361" s="17" t="s">
        <v>555</v>
      </c>
      <c r="B361" s="17" t="s">
        <v>69</v>
      </c>
      <c r="C361" s="17" t="s">
        <v>70</v>
      </c>
      <c r="D361" s="17"/>
      <c r="E361" s="17" t="s">
        <v>558</v>
      </c>
      <c r="F361" s="17"/>
      <c r="G361" s="17"/>
      <c r="H361" s="17" t="s">
        <v>557</v>
      </c>
      <c r="I361" s="17" t="s">
        <v>73</v>
      </c>
      <c r="J361" s="17" t="s">
        <v>559</v>
      </c>
      <c r="K361" s="18">
        <v>261.60000000000002</v>
      </c>
      <c r="L361" s="17" t="s">
        <v>74</v>
      </c>
      <c r="M361" s="19">
        <v>46013</v>
      </c>
      <c r="N361" s="19">
        <v>46720</v>
      </c>
      <c r="O361" s="17" t="s">
        <v>830</v>
      </c>
    </row>
    <row r="362" spans="1:15" x14ac:dyDescent="0.25">
      <c r="A362" s="17" t="s">
        <v>507</v>
      </c>
      <c r="B362" s="17" t="s">
        <v>69</v>
      </c>
      <c r="C362" s="17" t="s">
        <v>70</v>
      </c>
      <c r="D362" s="17"/>
      <c r="E362" s="17" t="s">
        <v>508</v>
      </c>
      <c r="F362" s="17"/>
      <c r="G362" s="17"/>
      <c r="H362" s="17" t="s">
        <v>509</v>
      </c>
      <c r="I362" s="17" t="s">
        <v>73</v>
      </c>
      <c r="J362" s="17" t="s">
        <v>510</v>
      </c>
      <c r="K362" s="18">
        <v>256.05</v>
      </c>
      <c r="L362" s="17" t="s">
        <v>74</v>
      </c>
      <c r="M362" s="19">
        <v>46013</v>
      </c>
      <c r="N362" s="19">
        <v>46720</v>
      </c>
      <c r="O362" s="17" t="s">
        <v>830</v>
      </c>
    </row>
    <row r="363" spans="1:15" x14ac:dyDescent="0.25">
      <c r="A363" s="17" t="s">
        <v>154</v>
      </c>
      <c r="B363" s="17" t="s">
        <v>69</v>
      </c>
      <c r="C363" s="17" t="s">
        <v>70</v>
      </c>
      <c r="D363" s="17"/>
      <c r="E363" s="17" t="s">
        <v>155</v>
      </c>
      <c r="F363" s="17"/>
      <c r="G363" s="17"/>
      <c r="H363" s="17" t="s">
        <v>136</v>
      </c>
      <c r="I363" s="17" t="s">
        <v>73</v>
      </c>
      <c r="J363" s="17" t="s">
        <v>1192</v>
      </c>
      <c r="K363" s="18">
        <v>280</v>
      </c>
      <c r="L363" s="17" t="s">
        <v>74</v>
      </c>
      <c r="M363" s="19">
        <v>46042</v>
      </c>
      <c r="N363" s="19">
        <v>46306</v>
      </c>
      <c r="O363" s="17" t="s">
        <v>830</v>
      </c>
    </row>
    <row r="364" spans="1:15" x14ac:dyDescent="0.25">
      <c r="A364" s="17" t="s">
        <v>134</v>
      </c>
      <c r="B364" s="17" t="s">
        <v>69</v>
      </c>
      <c r="C364" s="17" t="s">
        <v>70</v>
      </c>
      <c r="D364" s="17"/>
      <c r="E364" s="17" t="s">
        <v>146</v>
      </c>
      <c r="F364" s="17"/>
      <c r="G364" s="17"/>
      <c r="H364" s="17" t="s">
        <v>136</v>
      </c>
      <c r="I364" s="17" t="s">
        <v>73</v>
      </c>
      <c r="J364" s="17" t="s">
        <v>147</v>
      </c>
      <c r="K364" s="18">
        <v>270.5</v>
      </c>
      <c r="L364" s="17" t="s">
        <v>74</v>
      </c>
      <c r="M364" s="19">
        <v>46044</v>
      </c>
      <c r="N364" s="19">
        <v>46306</v>
      </c>
      <c r="O364" s="17" t="s">
        <v>830</v>
      </c>
    </row>
    <row r="365" spans="1:15" x14ac:dyDescent="0.25">
      <c r="A365" s="17" t="s">
        <v>154</v>
      </c>
      <c r="B365" s="17" t="s">
        <v>69</v>
      </c>
      <c r="C365" s="17" t="s">
        <v>70</v>
      </c>
      <c r="D365" s="17"/>
      <c r="E365" s="17" t="s">
        <v>166</v>
      </c>
      <c r="F365" s="17"/>
      <c r="G365" s="17"/>
      <c r="H365" s="17" t="s">
        <v>136</v>
      </c>
      <c r="I365" s="17" t="s">
        <v>73</v>
      </c>
      <c r="J365" s="17" t="s">
        <v>1256</v>
      </c>
      <c r="K365" s="18">
        <v>279</v>
      </c>
      <c r="L365" s="17" t="s">
        <v>74</v>
      </c>
      <c r="M365" s="19">
        <v>46042</v>
      </c>
      <c r="N365" s="19">
        <v>46306</v>
      </c>
      <c r="O365" s="17" t="s">
        <v>830</v>
      </c>
    </row>
    <row r="366" spans="1:15" x14ac:dyDescent="0.25">
      <c r="A366" s="17" t="s">
        <v>154</v>
      </c>
      <c r="B366" s="17" t="s">
        <v>69</v>
      </c>
      <c r="C366" s="17" t="s">
        <v>70</v>
      </c>
      <c r="D366" s="17"/>
      <c r="E366" s="17" t="s">
        <v>1153</v>
      </c>
      <c r="F366" s="17"/>
      <c r="G366" s="17"/>
      <c r="H366" s="17" t="s">
        <v>136</v>
      </c>
      <c r="I366" s="17" t="s">
        <v>73</v>
      </c>
      <c r="J366" s="17" t="s">
        <v>1154</v>
      </c>
      <c r="K366" s="18">
        <v>283</v>
      </c>
      <c r="L366" s="17" t="s">
        <v>74</v>
      </c>
      <c r="M366" s="19">
        <v>46053</v>
      </c>
      <c r="N366" s="19">
        <v>46314</v>
      </c>
      <c r="O366" s="17" t="s">
        <v>830</v>
      </c>
    </row>
    <row r="367" spans="1:15" x14ac:dyDescent="0.25">
      <c r="A367" s="17" t="s">
        <v>514</v>
      </c>
      <c r="B367" s="17" t="s">
        <v>69</v>
      </c>
      <c r="C367" s="17" t="s">
        <v>70</v>
      </c>
      <c r="D367" s="17"/>
      <c r="E367" s="17" t="s">
        <v>515</v>
      </c>
      <c r="F367" s="17"/>
      <c r="G367" s="17"/>
      <c r="H367" s="17" t="s">
        <v>516</v>
      </c>
      <c r="I367" s="17" t="s">
        <v>73</v>
      </c>
      <c r="J367" s="17" t="s">
        <v>517</v>
      </c>
      <c r="K367" s="18">
        <v>111.6</v>
      </c>
      <c r="L367" s="17" t="s">
        <v>74</v>
      </c>
      <c r="M367" s="19">
        <v>46038</v>
      </c>
      <c r="N367" s="19">
        <v>46741</v>
      </c>
      <c r="O367" s="17" t="s">
        <v>830</v>
      </c>
    </row>
    <row r="368" spans="1:15" x14ac:dyDescent="0.25">
      <c r="A368" s="17" t="s">
        <v>42</v>
      </c>
      <c r="B368" s="17" t="s">
        <v>69</v>
      </c>
      <c r="C368" s="17" t="s">
        <v>70</v>
      </c>
      <c r="D368" s="17"/>
      <c r="E368" s="17" t="s">
        <v>620</v>
      </c>
      <c r="F368" s="17"/>
      <c r="G368" s="17"/>
      <c r="H368" s="17" t="s">
        <v>44</v>
      </c>
      <c r="I368" s="17" t="s">
        <v>73</v>
      </c>
      <c r="J368" s="17" t="s">
        <v>411</v>
      </c>
      <c r="K368" s="18">
        <v>271.8</v>
      </c>
      <c r="L368" s="17" t="s">
        <v>74</v>
      </c>
      <c r="M368" s="19">
        <v>46050</v>
      </c>
      <c r="N368" s="19">
        <v>46757</v>
      </c>
      <c r="O368" s="17" t="s">
        <v>830</v>
      </c>
    </row>
    <row r="369" spans="1:15" x14ac:dyDescent="0.25">
      <c r="A369" s="17" t="s">
        <v>588</v>
      </c>
      <c r="B369" s="17" t="s">
        <v>69</v>
      </c>
      <c r="C369" s="17" t="s">
        <v>70</v>
      </c>
      <c r="D369" s="17"/>
      <c r="E369" s="17" t="s">
        <v>589</v>
      </c>
      <c r="F369" s="17"/>
      <c r="G369" s="17"/>
      <c r="H369" s="17" t="s">
        <v>590</v>
      </c>
      <c r="I369" s="17" t="s">
        <v>73</v>
      </c>
      <c r="J369" s="17" t="s">
        <v>591</v>
      </c>
      <c r="K369" s="18">
        <v>235.2</v>
      </c>
      <c r="L369" s="17" t="s">
        <v>74</v>
      </c>
      <c r="M369" s="19">
        <v>46006</v>
      </c>
      <c r="N369" s="19">
        <v>46712</v>
      </c>
      <c r="O369" s="17" t="s">
        <v>830</v>
      </c>
    </row>
    <row r="370" spans="1:15" x14ac:dyDescent="0.25">
      <c r="A370" s="17" t="s">
        <v>317</v>
      </c>
      <c r="B370" s="17" t="s">
        <v>69</v>
      </c>
      <c r="C370" s="17" t="s">
        <v>70</v>
      </c>
      <c r="D370" s="17"/>
      <c r="E370" s="17" t="s">
        <v>321</v>
      </c>
      <c r="F370" s="17"/>
      <c r="G370" s="17"/>
      <c r="H370" s="17" t="s">
        <v>319</v>
      </c>
      <c r="I370" s="17" t="s">
        <v>73</v>
      </c>
      <c r="J370" s="17" t="s">
        <v>322</v>
      </c>
      <c r="K370" s="18">
        <v>258.45</v>
      </c>
      <c r="L370" s="17" t="s">
        <v>74</v>
      </c>
      <c r="M370" s="19">
        <v>46013</v>
      </c>
      <c r="N370" s="19">
        <v>46720</v>
      </c>
      <c r="O370" s="17" t="s">
        <v>830</v>
      </c>
    </row>
    <row r="371" spans="1:15" x14ac:dyDescent="0.25">
      <c r="A371" s="17" t="s">
        <v>16</v>
      </c>
      <c r="B371" s="17" t="s">
        <v>69</v>
      </c>
      <c r="C371" s="17" t="s">
        <v>70</v>
      </c>
      <c r="D371" s="17"/>
      <c r="E371" s="17" t="s">
        <v>581</v>
      </c>
      <c r="F371" s="17"/>
      <c r="G371" s="17"/>
      <c r="H371" s="17" t="s">
        <v>17</v>
      </c>
      <c r="I371" s="17" t="s">
        <v>73</v>
      </c>
      <c r="J371" s="17" t="s">
        <v>582</v>
      </c>
      <c r="K371" s="18">
        <v>262.5</v>
      </c>
      <c r="L371" s="17" t="s">
        <v>74</v>
      </c>
      <c r="M371" s="19">
        <v>46051</v>
      </c>
      <c r="N371" s="19">
        <v>46763</v>
      </c>
      <c r="O371" s="17" t="s">
        <v>830</v>
      </c>
    </row>
    <row r="372" spans="1:15" x14ac:dyDescent="0.25">
      <c r="A372" s="17" t="s">
        <v>134</v>
      </c>
      <c r="B372" s="17" t="s">
        <v>69</v>
      </c>
      <c r="C372" s="17" t="s">
        <v>70</v>
      </c>
      <c r="D372" s="17"/>
      <c r="E372" s="17" t="s">
        <v>140</v>
      </c>
      <c r="F372" s="17"/>
      <c r="G372" s="17"/>
      <c r="H372" s="17" t="s">
        <v>136</v>
      </c>
      <c r="I372" s="17" t="s">
        <v>73</v>
      </c>
      <c r="J372" s="17" t="s">
        <v>141</v>
      </c>
      <c r="K372" s="18">
        <v>280</v>
      </c>
      <c r="L372" s="17" t="s">
        <v>74</v>
      </c>
      <c r="M372" s="19">
        <v>45982</v>
      </c>
      <c r="N372" s="19">
        <v>46234</v>
      </c>
      <c r="O372" s="17" t="s">
        <v>830</v>
      </c>
    </row>
    <row r="373" spans="1:15" x14ac:dyDescent="0.25">
      <c r="A373" s="17" t="s">
        <v>729</v>
      </c>
      <c r="B373" s="17" t="s">
        <v>69</v>
      </c>
      <c r="C373" s="17" t="s">
        <v>70</v>
      </c>
      <c r="D373" s="17"/>
      <c r="E373" s="17" t="s">
        <v>1257</v>
      </c>
      <c r="F373" s="17"/>
      <c r="G373" s="17"/>
      <c r="H373" s="17" t="s">
        <v>731</v>
      </c>
      <c r="I373" s="17" t="s">
        <v>73</v>
      </c>
      <c r="J373" s="17" t="s">
        <v>143</v>
      </c>
      <c r="K373" s="18">
        <v>289.44</v>
      </c>
      <c r="L373" s="17" t="s">
        <v>74</v>
      </c>
      <c r="M373" s="19">
        <v>46064</v>
      </c>
      <c r="N373" s="19">
        <v>46782</v>
      </c>
      <c r="O373" s="17" t="s">
        <v>830</v>
      </c>
    </row>
    <row r="374" spans="1:15" x14ac:dyDescent="0.25">
      <c r="A374" s="17" t="s">
        <v>723</v>
      </c>
      <c r="B374" s="17" t="s">
        <v>69</v>
      </c>
      <c r="C374" s="17" t="s">
        <v>70</v>
      </c>
      <c r="D374" s="17"/>
      <c r="E374" s="17" t="s">
        <v>1284</v>
      </c>
      <c r="F374" s="17"/>
      <c r="G374" s="17"/>
      <c r="H374" s="17" t="s">
        <v>725</v>
      </c>
      <c r="I374" s="17" t="s">
        <v>73</v>
      </c>
      <c r="J374" s="17" t="s">
        <v>734</v>
      </c>
      <c r="K374" s="18">
        <v>285.83999999999997</v>
      </c>
      <c r="L374" s="17" t="s">
        <v>74</v>
      </c>
      <c r="M374" s="19">
        <v>46071</v>
      </c>
      <c r="N374" s="19">
        <v>46785</v>
      </c>
      <c r="O374" s="17" t="s">
        <v>830</v>
      </c>
    </row>
    <row r="375" spans="1:15" x14ac:dyDescent="0.25">
      <c r="A375" s="17" t="s">
        <v>729</v>
      </c>
      <c r="B375" s="17" t="s">
        <v>69</v>
      </c>
      <c r="C375" s="17" t="s">
        <v>70</v>
      </c>
      <c r="D375" s="17"/>
      <c r="E375" s="17" t="s">
        <v>1235</v>
      </c>
      <c r="F375" s="17"/>
      <c r="G375" s="17"/>
      <c r="H375" s="17" t="s">
        <v>731</v>
      </c>
      <c r="I375" s="17" t="s">
        <v>73</v>
      </c>
      <c r="J375" s="17" t="s">
        <v>726</v>
      </c>
      <c r="K375" s="18">
        <v>304.92</v>
      </c>
      <c r="L375" s="17" t="s">
        <v>74</v>
      </c>
      <c r="M375" s="19">
        <v>46066</v>
      </c>
      <c r="N375" s="19">
        <v>46782</v>
      </c>
      <c r="O375" s="17" t="s">
        <v>830</v>
      </c>
    </row>
    <row r="376" spans="1:15" x14ac:dyDescent="0.25">
      <c r="A376" s="17" t="s">
        <v>729</v>
      </c>
      <c r="B376" s="17" t="s">
        <v>69</v>
      </c>
      <c r="C376" s="17" t="s">
        <v>70</v>
      </c>
      <c r="D376" s="17"/>
      <c r="E376" s="17" t="s">
        <v>730</v>
      </c>
      <c r="F376" s="17"/>
      <c r="G376" s="17"/>
      <c r="H376" s="17" t="s">
        <v>731</v>
      </c>
      <c r="I376" s="17" t="s">
        <v>73</v>
      </c>
      <c r="J376" s="17" t="s">
        <v>732</v>
      </c>
      <c r="K376" s="18">
        <v>287.64</v>
      </c>
      <c r="L376" s="17" t="s">
        <v>74</v>
      </c>
      <c r="M376" s="19">
        <v>46048</v>
      </c>
      <c r="N376" s="19">
        <v>46755</v>
      </c>
      <c r="O376" s="17" t="s">
        <v>830</v>
      </c>
    </row>
    <row r="377" spans="1:15" x14ac:dyDescent="0.25">
      <c r="A377" s="17" t="s">
        <v>729</v>
      </c>
      <c r="B377" s="17" t="s">
        <v>69</v>
      </c>
      <c r="C377" s="17" t="s">
        <v>70</v>
      </c>
      <c r="D377" s="17"/>
      <c r="E377" s="17" t="s">
        <v>1258</v>
      </c>
      <c r="F377" s="17"/>
      <c r="G377" s="17"/>
      <c r="H377" s="17" t="s">
        <v>731</v>
      </c>
      <c r="I377" s="17" t="s">
        <v>73</v>
      </c>
      <c r="J377" s="17" t="s">
        <v>1155</v>
      </c>
      <c r="K377" s="18">
        <v>291.24</v>
      </c>
      <c r="L377" s="17" t="s">
        <v>74</v>
      </c>
      <c r="M377" s="19">
        <v>46064</v>
      </c>
      <c r="N377" s="19">
        <v>46776</v>
      </c>
      <c r="O377" s="17" t="s">
        <v>830</v>
      </c>
    </row>
    <row r="378" spans="1:15" x14ac:dyDescent="0.25">
      <c r="A378" s="17" t="s">
        <v>788</v>
      </c>
      <c r="B378" s="17" t="s">
        <v>69</v>
      </c>
      <c r="C378" s="17" t="s">
        <v>70</v>
      </c>
      <c r="D378" s="17"/>
      <c r="E378" s="17" t="s">
        <v>789</v>
      </c>
      <c r="F378" s="17"/>
      <c r="G378" s="17"/>
      <c r="H378" s="17" t="s">
        <v>790</v>
      </c>
      <c r="I378" s="17" t="s">
        <v>73</v>
      </c>
      <c r="J378" s="17" t="s">
        <v>791</v>
      </c>
      <c r="K378" s="18">
        <v>315</v>
      </c>
      <c r="L378" s="17" t="s">
        <v>74</v>
      </c>
      <c r="M378" s="19">
        <v>46004</v>
      </c>
      <c r="N378" s="19">
        <v>46714</v>
      </c>
      <c r="O378" s="17" t="s">
        <v>830</v>
      </c>
    </row>
    <row r="379" spans="1:15" x14ac:dyDescent="0.25">
      <c r="A379" s="17" t="s">
        <v>788</v>
      </c>
      <c r="B379" s="17" t="s">
        <v>69</v>
      </c>
      <c r="C379" s="17" t="s">
        <v>70</v>
      </c>
      <c r="D379" s="17"/>
      <c r="E379" s="17" t="s">
        <v>1165</v>
      </c>
      <c r="F379" s="17"/>
      <c r="G379" s="17"/>
      <c r="H379" s="17" t="s">
        <v>790</v>
      </c>
      <c r="I379" s="17" t="s">
        <v>73</v>
      </c>
      <c r="J379" s="17" t="s">
        <v>735</v>
      </c>
      <c r="K379" s="18">
        <v>297</v>
      </c>
      <c r="L379" s="17" t="s">
        <v>74</v>
      </c>
      <c r="M379" s="19">
        <v>46055</v>
      </c>
      <c r="N379" s="19">
        <v>46763</v>
      </c>
      <c r="O379" s="17" t="s">
        <v>830</v>
      </c>
    </row>
    <row r="380" spans="1:15" x14ac:dyDescent="0.25">
      <c r="A380" s="17" t="s">
        <v>6</v>
      </c>
      <c r="B380" s="17" t="s">
        <v>69</v>
      </c>
      <c r="C380" s="17" t="s">
        <v>70</v>
      </c>
      <c r="D380" s="17"/>
      <c r="E380" s="17" t="s">
        <v>525</v>
      </c>
      <c r="F380" s="17"/>
      <c r="G380" s="17"/>
      <c r="H380" s="17" t="s">
        <v>7</v>
      </c>
      <c r="I380" s="17" t="s">
        <v>73</v>
      </c>
      <c r="J380" s="17" t="s">
        <v>526</v>
      </c>
      <c r="K380" s="18">
        <v>271.35000000000002</v>
      </c>
      <c r="L380" s="17" t="s">
        <v>74</v>
      </c>
      <c r="M380" s="19">
        <v>46036</v>
      </c>
      <c r="N380" s="19">
        <v>46750</v>
      </c>
      <c r="O380" s="17" t="s">
        <v>830</v>
      </c>
    </row>
    <row r="381" spans="1:15" x14ac:dyDescent="0.25">
      <c r="A381" s="17" t="s">
        <v>729</v>
      </c>
      <c r="B381" s="17" t="s">
        <v>69</v>
      </c>
      <c r="C381" s="17" t="s">
        <v>70</v>
      </c>
      <c r="D381" s="17"/>
      <c r="E381" s="17" t="s">
        <v>1193</v>
      </c>
      <c r="F381" s="17"/>
      <c r="G381" s="17"/>
      <c r="H381" s="17" t="s">
        <v>731</v>
      </c>
      <c r="I381" s="17" t="s">
        <v>73</v>
      </c>
      <c r="J381" s="17" t="s">
        <v>1194</v>
      </c>
      <c r="K381" s="18">
        <v>289.08</v>
      </c>
      <c r="L381" s="17" t="s">
        <v>74</v>
      </c>
      <c r="M381" s="19">
        <v>46057</v>
      </c>
      <c r="N381" s="19">
        <v>46770</v>
      </c>
      <c r="O381" s="17" t="s">
        <v>830</v>
      </c>
    </row>
    <row r="382" spans="1:15" x14ac:dyDescent="0.25">
      <c r="A382" s="17" t="s">
        <v>723</v>
      </c>
      <c r="B382" s="17" t="s">
        <v>69</v>
      </c>
      <c r="C382" s="17" t="s">
        <v>70</v>
      </c>
      <c r="D382" s="17"/>
      <c r="E382" s="17" t="s">
        <v>1195</v>
      </c>
      <c r="F382" s="17"/>
      <c r="G382" s="17"/>
      <c r="H382" s="17" t="s">
        <v>725</v>
      </c>
      <c r="I382" s="17" t="s">
        <v>73</v>
      </c>
      <c r="J382" s="17" t="s">
        <v>1196</v>
      </c>
      <c r="K382" s="18">
        <v>283.68</v>
      </c>
      <c r="L382" s="17" t="s">
        <v>74</v>
      </c>
      <c r="M382" s="19">
        <v>46057</v>
      </c>
      <c r="N382" s="19">
        <v>46770</v>
      </c>
      <c r="O382" s="17" t="s">
        <v>830</v>
      </c>
    </row>
    <row r="383" spans="1:15" x14ac:dyDescent="0.25">
      <c r="A383" s="17" t="s">
        <v>36</v>
      </c>
      <c r="B383" s="17" t="s">
        <v>69</v>
      </c>
      <c r="C383" s="17" t="s">
        <v>70</v>
      </c>
      <c r="D383" s="17"/>
      <c r="E383" s="17" t="s">
        <v>1197</v>
      </c>
      <c r="F383" s="17"/>
      <c r="G383" s="17"/>
      <c r="H383" s="17" t="s">
        <v>38</v>
      </c>
      <c r="I383" s="17" t="s">
        <v>73</v>
      </c>
      <c r="J383" s="17" t="s">
        <v>1198</v>
      </c>
      <c r="K383" s="18">
        <v>279</v>
      </c>
      <c r="L383" s="17" t="s">
        <v>74</v>
      </c>
      <c r="M383" s="19">
        <v>46057</v>
      </c>
      <c r="N383" s="19">
        <v>46769</v>
      </c>
      <c r="O383" s="17" t="s">
        <v>830</v>
      </c>
    </row>
    <row r="384" spans="1:15" x14ac:dyDescent="0.25">
      <c r="A384" s="17" t="s">
        <v>2</v>
      </c>
      <c r="B384" s="17" t="s">
        <v>69</v>
      </c>
      <c r="C384" s="17" t="s">
        <v>70</v>
      </c>
      <c r="D384" s="17"/>
      <c r="E384" s="17" t="s">
        <v>631</v>
      </c>
      <c r="F384" s="17"/>
      <c r="G384" s="17"/>
      <c r="H384" s="17" t="s">
        <v>3</v>
      </c>
      <c r="I384" s="17" t="s">
        <v>73</v>
      </c>
      <c r="J384" s="17" t="s">
        <v>632</v>
      </c>
      <c r="K384" s="18">
        <v>268.95</v>
      </c>
      <c r="L384" s="17" t="s">
        <v>74</v>
      </c>
      <c r="M384" s="19">
        <v>46048</v>
      </c>
      <c r="N384" s="19">
        <v>46758</v>
      </c>
      <c r="O384" s="17" t="s">
        <v>830</v>
      </c>
    </row>
    <row r="385" spans="1:15" x14ac:dyDescent="0.25">
      <c r="A385" s="17" t="s">
        <v>134</v>
      </c>
      <c r="B385" s="17" t="s">
        <v>69</v>
      </c>
      <c r="C385" s="17" t="s">
        <v>70</v>
      </c>
      <c r="D385" s="17"/>
      <c r="E385" s="17" t="s">
        <v>144</v>
      </c>
      <c r="F385" s="17"/>
      <c r="G385" s="17"/>
      <c r="H385" s="17" t="s">
        <v>136</v>
      </c>
      <c r="I385" s="17" t="s">
        <v>73</v>
      </c>
      <c r="J385" s="17" t="s">
        <v>145</v>
      </c>
      <c r="K385" s="18">
        <v>276.5</v>
      </c>
      <c r="L385" s="17" t="s">
        <v>74</v>
      </c>
      <c r="M385" s="19">
        <v>46049</v>
      </c>
      <c r="N385" s="19">
        <v>46314</v>
      </c>
      <c r="O385" s="17" t="s">
        <v>830</v>
      </c>
    </row>
    <row r="386" spans="1:15" x14ac:dyDescent="0.25">
      <c r="A386" s="17" t="s">
        <v>330</v>
      </c>
      <c r="B386" s="17" t="s">
        <v>69</v>
      </c>
      <c r="C386" s="17" t="s">
        <v>70</v>
      </c>
      <c r="D386" s="17"/>
      <c r="E386" s="17" t="s">
        <v>335</v>
      </c>
      <c r="F386" s="17"/>
      <c r="G386" s="17"/>
      <c r="H386" s="17" t="s">
        <v>332</v>
      </c>
      <c r="I386" s="17" t="s">
        <v>73</v>
      </c>
      <c r="J386" s="17" t="s">
        <v>336</v>
      </c>
      <c r="K386" s="18">
        <v>262.2</v>
      </c>
      <c r="L386" s="17" t="s">
        <v>74</v>
      </c>
      <c r="M386" s="19">
        <v>46031</v>
      </c>
      <c r="N386" s="19">
        <v>46741</v>
      </c>
      <c r="O386" s="17" t="s">
        <v>830</v>
      </c>
    </row>
    <row r="387" spans="1:15" x14ac:dyDescent="0.25">
      <c r="A387" s="17" t="s">
        <v>154</v>
      </c>
      <c r="B387" s="17" t="s">
        <v>69</v>
      </c>
      <c r="C387" s="17" t="s">
        <v>70</v>
      </c>
      <c r="D387" s="17"/>
      <c r="E387" s="17" t="s">
        <v>164</v>
      </c>
      <c r="F387" s="17"/>
      <c r="G387" s="17"/>
      <c r="H387" s="17" t="s">
        <v>136</v>
      </c>
      <c r="I387" s="17" t="s">
        <v>73</v>
      </c>
      <c r="J387" s="17" t="s">
        <v>165</v>
      </c>
      <c r="K387" s="18">
        <v>270</v>
      </c>
      <c r="L387" s="17" t="s">
        <v>74</v>
      </c>
      <c r="M387" s="19">
        <v>46007</v>
      </c>
      <c r="N387" s="19">
        <v>46271</v>
      </c>
      <c r="O387" s="17" t="s">
        <v>830</v>
      </c>
    </row>
    <row r="388" spans="1:15" x14ac:dyDescent="0.25">
      <c r="A388" s="17" t="s">
        <v>788</v>
      </c>
      <c r="B388" s="17" t="s">
        <v>69</v>
      </c>
      <c r="C388" s="17" t="s">
        <v>70</v>
      </c>
      <c r="D388" s="17"/>
      <c r="E388" s="17" t="s">
        <v>1259</v>
      </c>
      <c r="F388" s="17"/>
      <c r="G388" s="17"/>
      <c r="H388" s="17" t="s">
        <v>790</v>
      </c>
      <c r="I388" s="17" t="s">
        <v>73</v>
      </c>
      <c r="J388" s="17" t="s">
        <v>167</v>
      </c>
      <c r="K388" s="18">
        <v>306</v>
      </c>
      <c r="L388" s="17" t="s">
        <v>74</v>
      </c>
      <c r="M388" s="19">
        <v>46062</v>
      </c>
      <c r="N388" s="19">
        <v>46776</v>
      </c>
      <c r="O388" s="17" t="s">
        <v>830</v>
      </c>
    </row>
    <row r="389" spans="1:15" x14ac:dyDescent="0.25">
      <c r="A389" s="17" t="s">
        <v>723</v>
      </c>
      <c r="B389" s="17" t="s">
        <v>69</v>
      </c>
      <c r="C389" s="17" t="s">
        <v>70</v>
      </c>
      <c r="D389" s="17"/>
      <c r="E389" s="17" t="s">
        <v>1285</v>
      </c>
      <c r="F389" s="17"/>
      <c r="G389" s="17"/>
      <c r="H389" s="17" t="s">
        <v>725</v>
      </c>
      <c r="I389" s="17" t="s">
        <v>73</v>
      </c>
      <c r="J389" s="17" t="s">
        <v>1286</v>
      </c>
      <c r="K389" s="18">
        <v>290.88</v>
      </c>
      <c r="L389" s="17" t="s">
        <v>74</v>
      </c>
      <c r="M389" s="19">
        <v>46072</v>
      </c>
      <c r="N389" s="19">
        <v>46785</v>
      </c>
      <c r="O389" s="17" t="s">
        <v>830</v>
      </c>
    </row>
    <row r="390" spans="1:15" x14ac:dyDescent="0.25">
      <c r="A390" s="17" t="s">
        <v>282</v>
      </c>
      <c r="B390" s="17" t="s">
        <v>69</v>
      </c>
      <c r="C390" s="17" t="s">
        <v>70</v>
      </c>
      <c r="D390" s="17"/>
      <c r="E390" s="17" t="s">
        <v>283</v>
      </c>
      <c r="F390" s="17"/>
      <c r="G390" s="17"/>
      <c r="H390" s="17" t="s">
        <v>284</v>
      </c>
      <c r="I390" s="17" t="s">
        <v>73</v>
      </c>
      <c r="J390" s="17" t="s">
        <v>285</v>
      </c>
      <c r="K390" s="18">
        <v>248.25</v>
      </c>
      <c r="L390" s="17" t="s">
        <v>74</v>
      </c>
      <c r="M390" s="19">
        <v>46013</v>
      </c>
      <c r="N390" s="19">
        <v>46720</v>
      </c>
      <c r="O390" s="17" t="s">
        <v>830</v>
      </c>
    </row>
    <row r="391" spans="1:15" x14ac:dyDescent="0.25">
      <c r="A391" s="17" t="s">
        <v>468</v>
      </c>
      <c r="B391" s="17" t="s">
        <v>69</v>
      </c>
      <c r="C391" s="17" t="s">
        <v>70</v>
      </c>
      <c r="D391" s="17"/>
      <c r="E391" s="17" t="s">
        <v>469</v>
      </c>
      <c r="F391" s="17"/>
      <c r="G391" s="17"/>
      <c r="H391" s="17" t="s">
        <v>470</v>
      </c>
      <c r="I391" s="17" t="s">
        <v>73</v>
      </c>
      <c r="J391" s="17" t="s">
        <v>471</v>
      </c>
      <c r="K391" s="18">
        <v>272.55</v>
      </c>
      <c r="L391" s="17" t="s">
        <v>74</v>
      </c>
      <c r="M391" s="19">
        <v>46036</v>
      </c>
      <c r="N391" s="19">
        <v>46741</v>
      </c>
      <c r="O391" s="17" t="s">
        <v>830</v>
      </c>
    </row>
    <row r="392" spans="1:15" x14ac:dyDescent="0.25">
      <c r="A392" s="17" t="s">
        <v>723</v>
      </c>
      <c r="B392" s="17" t="s">
        <v>69</v>
      </c>
      <c r="C392" s="17" t="s">
        <v>70</v>
      </c>
      <c r="D392" s="17"/>
      <c r="E392" s="17" t="s">
        <v>1163</v>
      </c>
      <c r="F392" s="17"/>
      <c r="G392" s="17"/>
      <c r="H392" s="17" t="s">
        <v>725</v>
      </c>
      <c r="I392" s="17" t="s">
        <v>73</v>
      </c>
      <c r="J392" s="17" t="s">
        <v>1164</v>
      </c>
      <c r="K392" s="18">
        <v>289.44</v>
      </c>
      <c r="L392" s="17" t="s">
        <v>74</v>
      </c>
      <c r="M392" s="19">
        <v>46055</v>
      </c>
      <c r="N392" s="19">
        <v>46769</v>
      </c>
      <c r="O392" s="17" t="s">
        <v>830</v>
      </c>
    </row>
    <row r="393" spans="1:15" x14ac:dyDescent="0.25">
      <c r="A393" s="17" t="s">
        <v>744</v>
      </c>
      <c r="B393" s="17" t="s">
        <v>69</v>
      </c>
      <c r="C393" s="17" t="s">
        <v>70</v>
      </c>
      <c r="D393" s="17"/>
      <c r="E393" s="17" t="s">
        <v>1260</v>
      </c>
      <c r="F393" s="17"/>
      <c r="G393" s="17"/>
      <c r="H393" s="17" t="s">
        <v>746</v>
      </c>
      <c r="I393" s="17" t="s">
        <v>73</v>
      </c>
      <c r="J393" s="17" t="s">
        <v>621</v>
      </c>
      <c r="K393" s="18">
        <v>290.88</v>
      </c>
      <c r="L393" s="17" t="s">
        <v>74</v>
      </c>
      <c r="M393" s="19">
        <v>46065</v>
      </c>
      <c r="N393" s="19">
        <v>46782</v>
      </c>
      <c r="O393" s="17" t="s">
        <v>830</v>
      </c>
    </row>
    <row r="394" spans="1:15" x14ac:dyDescent="0.25">
      <c r="A394" s="17" t="s">
        <v>729</v>
      </c>
      <c r="B394" s="17" t="s">
        <v>69</v>
      </c>
      <c r="C394" s="17" t="s">
        <v>70</v>
      </c>
      <c r="D394" s="17"/>
      <c r="E394" s="17" t="s">
        <v>1261</v>
      </c>
      <c r="F394" s="17"/>
      <c r="G394" s="17"/>
      <c r="H394" s="17" t="s">
        <v>731</v>
      </c>
      <c r="I394" s="17" t="s">
        <v>73</v>
      </c>
      <c r="J394" s="17" t="s">
        <v>1262</v>
      </c>
      <c r="K394" s="18">
        <v>289.8</v>
      </c>
      <c r="L394" s="17" t="s">
        <v>74</v>
      </c>
      <c r="M394" s="19">
        <v>46064</v>
      </c>
      <c r="N394" s="19">
        <v>46782</v>
      </c>
      <c r="O394" s="17" t="s">
        <v>830</v>
      </c>
    </row>
    <row r="395" spans="1:15" x14ac:dyDescent="0.25">
      <c r="A395" s="17" t="s">
        <v>355</v>
      </c>
      <c r="B395" s="17" t="s">
        <v>69</v>
      </c>
      <c r="C395" s="17" t="s">
        <v>70</v>
      </c>
      <c r="D395" s="17"/>
      <c r="E395" s="17" t="s">
        <v>359</v>
      </c>
      <c r="F395" s="17"/>
      <c r="G395" s="17"/>
      <c r="H395" s="17" t="s">
        <v>357</v>
      </c>
      <c r="I395" s="17" t="s">
        <v>73</v>
      </c>
      <c r="J395" s="17" t="s">
        <v>360</v>
      </c>
      <c r="K395" s="18">
        <v>257.39999999999998</v>
      </c>
      <c r="L395" s="17" t="s">
        <v>74</v>
      </c>
      <c r="M395" s="19">
        <v>46034</v>
      </c>
      <c r="N395" s="19">
        <v>46741</v>
      </c>
      <c r="O395" s="17" t="s">
        <v>830</v>
      </c>
    </row>
    <row r="396" spans="1:15" x14ac:dyDescent="0.25">
      <c r="A396" s="17" t="s">
        <v>729</v>
      </c>
      <c r="B396" s="17" t="s">
        <v>69</v>
      </c>
      <c r="C396" s="17" t="s">
        <v>70</v>
      </c>
      <c r="D396" s="17"/>
      <c r="E396" s="17" t="s">
        <v>1263</v>
      </c>
      <c r="F396" s="17"/>
      <c r="G396" s="17"/>
      <c r="H396" s="17" t="s">
        <v>731</v>
      </c>
      <c r="I396" s="17" t="s">
        <v>73</v>
      </c>
      <c r="J396" s="17" t="s">
        <v>736</v>
      </c>
      <c r="K396" s="18">
        <v>291.60000000000002</v>
      </c>
      <c r="L396" s="17" t="s">
        <v>74</v>
      </c>
      <c r="M396" s="19">
        <v>46062</v>
      </c>
      <c r="N396" s="19">
        <v>46776</v>
      </c>
      <c r="O396" s="17" t="s">
        <v>830</v>
      </c>
    </row>
    <row r="397" spans="1:15" x14ac:dyDescent="0.25">
      <c r="A397" s="17" t="s">
        <v>723</v>
      </c>
      <c r="B397" s="17" t="s">
        <v>69</v>
      </c>
      <c r="C397" s="17" t="s">
        <v>70</v>
      </c>
      <c r="D397" s="17"/>
      <c r="E397" s="17" t="s">
        <v>727</v>
      </c>
      <c r="F397" s="17"/>
      <c r="G397" s="17"/>
      <c r="H397" s="17" t="s">
        <v>725</v>
      </c>
      <c r="I397" s="17" t="s">
        <v>73</v>
      </c>
      <c r="J397" s="17" t="s">
        <v>728</v>
      </c>
      <c r="K397" s="18">
        <v>283.32</v>
      </c>
      <c r="L397" s="17" t="s">
        <v>74</v>
      </c>
      <c r="M397" s="19">
        <v>46037</v>
      </c>
      <c r="N397" s="19">
        <v>46751</v>
      </c>
      <c r="O397" s="17" t="s">
        <v>830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2BF4-988A-4762-A328-3A18B13EC797}">
  <dimension ref="A1:O234"/>
  <sheetViews>
    <sheetView zoomScale="35" zoomScaleNormal="35" workbookViewId="0">
      <selection activeCell="K36" sqref="K36"/>
    </sheetView>
  </sheetViews>
  <sheetFormatPr defaultRowHeight="15" x14ac:dyDescent="0.25"/>
  <cols>
    <col min="1" max="1" width="24.7109375" bestFit="1" customWidth="1"/>
    <col min="2" max="2" width="15" bestFit="1" customWidth="1"/>
    <col min="3" max="3" width="11.140625" customWidth="1"/>
    <col min="4" max="4" width="17.42578125" customWidth="1"/>
    <col min="5" max="5" width="14.7109375" bestFit="1" customWidth="1"/>
    <col min="6" max="6" width="27.5703125" bestFit="1" customWidth="1"/>
    <col min="7" max="7" width="20.85546875" customWidth="1"/>
    <col min="8" max="8" width="44" bestFit="1" customWidth="1"/>
    <col min="9" max="9" width="18" customWidth="1"/>
    <col min="10" max="10" width="20.85546875" customWidth="1"/>
    <col min="11" max="11" width="19.85546875" customWidth="1"/>
    <col min="12" max="12" width="20.42578125" customWidth="1"/>
    <col min="13" max="13" width="31" customWidth="1"/>
    <col min="14" max="14" width="21.28515625" bestFit="1" customWidth="1"/>
  </cols>
  <sheetData>
    <row r="1" spans="1:15" x14ac:dyDescent="0.25">
      <c r="A1" s="40" t="s">
        <v>1168</v>
      </c>
    </row>
    <row r="3" spans="1:15" x14ac:dyDescent="0.25">
      <c r="A3" s="86" t="s">
        <v>58</v>
      </c>
      <c r="B3" s="86" t="s">
        <v>59</v>
      </c>
      <c r="C3" s="86" t="s">
        <v>60</v>
      </c>
      <c r="D3" s="86" t="s">
        <v>1144</v>
      </c>
      <c r="E3" s="86" t="s">
        <v>28</v>
      </c>
      <c r="F3" s="86" t="s">
        <v>61</v>
      </c>
      <c r="G3" s="86" t="s">
        <v>1145</v>
      </c>
      <c r="H3" s="86" t="s">
        <v>62</v>
      </c>
      <c r="I3" s="86" t="s">
        <v>63</v>
      </c>
      <c r="J3" s="86" t="s">
        <v>64</v>
      </c>
      <c r="K3" s="86" t="s">
        <v>65</v>
      </c>
      <c r="L3" s="86" t="s">
        <v>66</v>
      </c>
      <c r="M3" s="86" t="s">
        <v>67</v>
      </c>
      <c r="N3" s="86" t="s">
        <v>826</v>
      </c>
      <c r="O3" s="86" t="s">
        <v>827</v>
      </c>
    </row>
    <row r="4" spans="1:15" x14ac:dyDescent="0.25">
      <c r="A4" s="17" t="s">
        <v>810</v>
      </c>
      <c r="B4" s="17" t="s">
        <v>69</v>
      </c>
      <c r="C4" s="17" t="s">
        <v>70</v>
      </c>
      <c r="D4" s="17"/>
      <c r="E4" s="17" t="s">
        <v>811</v>
      </c>
      <c r="F4" s="17"/>
      <c r="G4" s="17"/>
      <c r="H4" s="17" t="s">
        <v>812</v>
      </c>
      <c r="I4" s="17" t="s">
        <v>828</v>
      </c>
      <c r="J4" s="17" t="s">
        <v>829</v>
      </c>
      <c r="K4" s="18">
        <v>3.2959999999999998</v>
      </c>
      <c r="L4" s="17" t="s">
        <v>74</v>
      </c>
      <c r="M4" s="19">
        <v>45803</v>
      </c>
      <c r="N4" s="19">
        <v>46152</v>
      </c>
      <c r="O4" s="17" t="s">
        <v>830</v>
      </c>
    </row>
    <row r="5" spans="1:15" x14ac:dyDescent="0.25">
      <c r="A5" s="17" t="s">
        <v>822</v>
      </c>
      <c r="B5" s="17" t="s">
        <v>69</v>
      </c>
      <c r="C5" s="17" t="s">
        <v>70</v>
      </c>
      <c r="D5" s="17"/>
      <c r="E5" s="17" t="s">
        <v>831</v>
      </c>
      <c r="F5" s="17"/>
      <c r="G5" s="17"/>
      <c r="H5" s="17" t="s">
        <v>824</v>
      </c>
      <c r="I5" s="17" t="s">
        <v>828</v>
      </c>
      <c r="J5" s="17" t="s">
        <v>829</v>
      </c>
      <c r="K5" s="18">
        <v>19.152000000000001</v>
      </c>
      <c r="L5" s="17" t="s">
        <v>74</v>
      </c>
      <c r="M5" s="19">
        <v>45863</v>
      </c>
      <c r="N5" s="19">
        <v>46569</v>
      </c>
      <c r="O5" s="17" t="s">
        <v>830</v>
      </c>
    </row>
    <row r="6" spans="1:15" x14ac:dyDescent="0.25">
      <c r="A6" s="17" t="s">
        <v>832</v>
      </c>
      <c r="B6" s="17" t="s">
        <v>69</v>
      </c>
      <c r="C6" s="17" t="s">
        <v>70</v>
      </c>
      <c r="D6" s="17"/>
      <c r="E6" s="17" t="s">
        <v>833</v>
      </c>
      <c r="F6" s="17"/>
      <c r="G6" s="17"/>
      <c r="H6" s="17" t="s">
        <v>834</v>
      </c>
      <c r="I6" s="17" t="s">
        <v>828</v>
      </c>
      <c r="J6" s="17" t="s">
        <v>50</v>
      </c>
      <c r="K6" s="18">
        <v>8.4600000000000009</v>
      </c>
      <c r="L6" s="17" t="s">
        <v>74</v>
      </c>
      <c r="M6" s="19">
        <v>45703</v>
      </c>
      <c r="N6" s="19">
        <v>46420</v>
      </c>
      <c r="O6" s="17" t="s">
        <v>830</v>
      </c>
    </row>
    <row r="7" spans="1:15" x14ac:dyDescent="0.25">
      <c r="A7" s="17" t="s">
        <v>819</v>
      </c>
      <c r="B7" s="17" t="s">
        <v>69</v>
      </c>
      <c r="C7" s="17" t="s">
        <v>70</v>
      </c>
      <c r="D7" s="17"/>
      <c r="E7" s="17" t="s">
        <v>836</v>
      </c>
      <c r="F7" s="17"/>
      <c r="G7" s="17"/>
      <c r="H7" s="17" t="s">
        <v>821</v>
      </c>
      <c r="I7" s="17" t="s">
        <v>828</v>
      </c>
      <c r="J7" s="17" t="s">
        <v>343</v>
      </c>
      <c r="K7" s="18">
        <v>23.423999999999999</v>
      </c>
      <c r="L7" s="17" t="s">
        <v>74</v>
      </c>
      <c r="M7" s="19">
        <v>45856</v>
      </c>
      <c r="N7" s="19">
        <v>46569</v>
      </c>
      <c r="O7" s="17" t="s">
        <v>830</v>
      </c>
    </row>
    <row r="8" spans="1:15" x14ac:dyDescent="0.25">
      <c r="A8" s="17" t="s">
        <v>819</v>
      </c>
      <c r="B8" s="17" t="s">
        <v>69</v>
      </c>
      <c r="C8" s="17" t="s">
        <v>70</v>
      </c>
      <c r="D8" s="17" t="s">
        <v>1146</v>
      </c>
      <c r="E8" s="17" t="s">
        <v>835</v>
      </c>
      <c r="F8" s="17"/>
      <c r="G8" s="17"/>
      <c r="H8" s="17" t="s">
        <v>821</v>
      </c>
      <c r="I8" s="17" t="s">
        <v>828</v>
      </c>
      <c r="J8" s="17" t="s">
        <v>343</v>
      </c>
      <c r="K8" s="18">
        <v>0.16800000000000001</v>
      </c>
      <c r="L8" s="17" t="s">
        <v>74</v>
      </c>
      <c r="M8" s="19">
        <v>45810</v>
      </c>
      <c r="N8" s="19">
        <v>46525</v>
      </c>
      <c r="O8" s="17" t="s">
        <v>830</v>
      </c>
    </row>
    <row r="9" spans="1:15" x14ac:dyDescent="0.25">
      <c r="A9" s="17" t="s">
        <v>819</v>
      </c>
      <c r="B9" s="17" t="s">
        <v>69</v>
      </c>
      <c r="C9" s="17" t="s">
        <v>70</v>
      </c>
      <c r="D9" s="17"/>
      <c r="E9" s="17" t="s">
        <v>835</v>
      </c>
      <c r="F9" s="17"/>
      <c r="G9" s="17"/>
      <c r="H9" s="17" t="s">
        <v>821</v>
      </c>
      <c r="I9" s="17" t="s">
        <v>828</v>
      </c>
      <c r="J9" s="17" t="s">
        <v>343</v>
      </c>
      <c r="K9" s="18">
        <v>0.33600000000000002</v>
      </c>
      <c r="L9" s="17" t="s">
        <v>74</v>
      </c>
      <c r="M9" s="19">
        <v>45996</v>
      </c>
      <c r="N9" s="19">
        <v>46525</v>
      </c>
      <c r="O9" s="17" t="s">
        <v>830</v>
      </c>
    </row>
    <row r="10" spans="1:15" x14ac:dyDescent="0.25">
      <c r="A10" s="17" t="s">
        <v>822</v>
      </c>
      <c r="B10" s="17" t="s">
        <v>69</v>
      </c>
      <c r="C10" s="17" t="s">
        <v>70</v>
      </c>
      <c r="D10" s="17"/>
      <c r="E10" s="17" t="s">
        <v>831</v>
      </c>
      <c r="F10" s="17"/>
      <c r="G10" s="17"/>
      <c r="H10" s="17" t="s">
        <v>824</v>
      </c>
      <c r="I10" s="17" t="s">
        <v>828</v>
      </c>
      <c r="J10" s="17" t="s">
        <v>604</v>
      </c>
      <c r="K10" s="18">
        <v>13.44</v>
      </c>
      <c r="L10" s="17" t="s">
        <v>74</v>
      </c>
      <c r="M10" s="19">
        <v>45863</v>
      </c>
      <c r="N10" s="19">
        <v>46569</v>
      </c>
      <c r="O10" s="17" t="s">
        <v>830</v>
      </c>
    </row>
    <row r="11" spans="1:15" x14ac:dyDescent="0.25">
      <c r="A11" s="17" t="s">
        <v>848</v>
      </c>
      <c r="B11" s="17" t="s">
        <v>69</v>
      </c>
      <c r="C11" s="17" t="s">
        <v>70</v>
      </c>
      <c r="D11" s="17"/>
      <c r="E11" s="17" t="s">
        <v>1266</v>
      </c>
      <c r="F11" s="17"/>
      <c r="G11" s="17"/>
      <c r="H11" s="17" t="s">
        <v>850</v>
      </c>
      <c r="I11" s="17" t="s">
        <v>828</v>
      </c>
      <c r="J11" s="17" t="s">
        <v>437</v>
      </c>
      <c r="K11" s="18">
        <v>16.974</v>
      </c>
      <c r="L11" s="17" t="s">
        <v>74</v>
      </c>
      <c r="M11" s="19">
        <v>46073</v>
      </c>
      <c r="N11" s="19">
        <v>46432</v>
      </c>
      <c r="O11" s="17" t="s">
        <v>830</v>
      </c>
    </row>
    <row r="12" spans="1:15" x14ac:dyDescent="0.25">
      <c r="A12" s="17" t="s">
        <v>837</v>
      </c>
      <c r="B12" s="17" t="s">
        <v>69</v>
      </c>
      <c r="C12" s="17" t="s">
        <v>70</v>
      </c>
      <c r="D12" s="17"/>
      <c r="E12" s="17" t="s">
        <v>838</v>
      </c>
      <c r="F12" s="17"/>
      <c r="G12" s="17"/>
      <c r="H12" s="17" t="s">
        <v>839</v>
      </c>
      <c r="I12" s="17" t="s">
        <v>828</v>
      </c>
      <c r="J12" s="17" t="s">
        <v>437</v>
      </c>
      <c r="K12" s="18">
        <v>34.271999999999998</v>
      </c>
      <c r="L12" s="17" t="s">
        <v>74</v>
      </c>
      <c r="M12" s="19">
        <v>45918</v>
      </c>
      <c r="N12" s="19">
        <v>46629</v>
      </c>
      <c r="O12" s="17" t="s">
        <v>830</v>
      </c>
    </row>
    <row r="13" spans="1:15" x14ac:dyDescent="0.25">
      <c r="A13" s="17" t="s">
        <v>776</v>
      </c>
      <c r="B13" s="17" t="s">
        <v>69</v>
      </c>
      <c r="C13" s="17" t="s">
        <v>70</v>
      </c>
      <c r="D13" s="17"/>
      <c r="E13" s="17" t="s">
        <v>1265</v>
      </c>
      <c r="F13" s="17"/>
      <c r="G13" s="17"/>
      <c r="H13" s="17" t="s">
        <v>778</v>
      </c>
      <c r="I13" s="17" t="s">
        <v>828</v>
      </c>
      <c r="J13" s="17" t="s">
        <v>342</v>
      </c>
      <c r="K13" s="18">
        <v>0.46800000000000003</v>
      </c>
      <c r="L13" s="17" t="s">
        <v>74</v>
      </c>
      <c r="M13" s="19">
        <v>45674</v>
      </c>
      <c r="N13" s="19">
        <v>46525</v>
      </c>
      <c r="O13" s="17" t="s">
        <v>830</v>
      </c>
    </row>
    <row r="14" spans="1:15" x14ac:dyDescent="0.25">
      <c r="A14" s="17" t="s">
        <v>776</v>
      </c>
      <c r="B14" s="17" t="s">
        <v>69</v>
      </c>
      <c r="C14" s="17" t="s">
        <v>70</v>
      </c>
      <c r="D14" s="17"/>
      <c r="E14" s="17" t="s">
        <v>840</v>
      </c>
      <c r="F14" s="17"/>
      <c r="G14" s="17"/>
      <c r="H14" s="17" t="s">
        <v>778</v>
      </c>
      <c r="I14" s="17" t="s">
        <v>828</v>
      </c>
      <c r="J14" s="17" t="s">
        <v>342</v>
      </c>
      <c r="K14" s="18">
        <v>0.372</v>
      </c>
      <c r="L14" s="17" t="s">
        <v>74</v>
      </c>
      <c r="M14" s="19">
        <v>46008</v>
      </c>
      <c r="N14" s="19">
        <v>46539</v>
      </c>
      <c r="O14" s="17" t="s">
        <v>830</v>
      </c>
    </row>
    <row r="15" spans="1:15" x14ac:dyDescent="0.25">
      <c r="A15" s="17" t="s">
        <v>773</v>
      </c>
      <c r="B15" s="17" t="s">
        <v>69</v>
      </c>
      <c r="C15" s="17" t="s">
        <v>70</v>
      </c>
      <c r="D15" s="17"/>
      <c r="E15" s="17" t="s">
        <v>774</v>
      </c>
      <c r="F15" s="17"/>
      <c r="G15" s="17"/>
      <c r="H15" s="17" t="s">
        <v>775</v>
      </c>
      <c r="I15" s="17" t="s">
        <v>828</v>
      </c>
      <c r="J15" s="17" t="s">
        <v>310</v>
      </c>
      <c r="K15" s="18">
        <v>17.84</v>
      </c>
      <c r="L15" s="17" t="s">
        <v>74</v>
      </c>
      <c r="M15" s="19">
        <v>46027</v>
      </c>
      <c r="N15" s="19">
        <v>46380</v>
      </c>
      <c r="O15" s="17" t="s">
        <v>830</v>
      </c>
    </row>
    <row r="16" spans="1:15" x14ac:dyDescent="0.25">
      <c r="A16" s="17" t="s">
        <v>754</v>
      </c>
      <c r="B16" s="17" t="s">
        <v>69</v>
      </c>
      <c r="C16" s="17" t="s">
        <v>70</v>
      </c>
      <c r="D16" s="17"/>
      <c r="E16" s="17" t="s">
        <v>841</v>
      </c>
      <c r="F16" s="17"/>
      <c r="G16" s="17"/>
      <c r="H16" s="17" t="s">
        <v>756</v>
      </c>
      <c r="I16" s="17" t="s">
        <v>828</v>
      </c>
      <c r="J16" s="17" t="s">
        <v>358</v>
      </c>
      <c r="K16" s="18">
        <v>6.21</v>
      </c>
      <c r="L16" s="17" t="s">
        <v>74</v>
      </c>
      <c r="M16" s="19">
        <v>46036</v>
      </c>
      <c r="N16" s="19">
        <v>46389</v>
      </c>
      <c r="O16" s="17" t="s">
        <v>830</v>
      </c>
    </row>
    <row r="17" spans="1:15" x14ac:dyDescent="0.25">
      <c r="A17" s="17" t="s">
        <v>754</v>
      </c>
      <c r="B17" s="17" t="s">
        <v>69</v>
      </c>
      <c r="C17" s="17" t="s">
        <v>70</v>
      </c>
      <c r="D17" s="17"/>
      <c r="E17" s="17" t="s">
        <v>842</v>
      </c>
      <c r="F17" s="17"/>
      <c r="G17" s="17"/>
      <c r="H17" s="17" t="s">
        <v>756</v>
      </c>
      <c r="I17" s="17" t="s">
        <v>828</v>
      </c>
      <c r="J17" s="17" t="s">
        <v>358</v>
      </c>
      <c r="K17" s="18">
        <v>1.6559999999999999</v>
      </c>
      <c r="L17" s="17" t="s">
        <v>74</v>
      </c>
      <c r="M17" s="19">
        <v>46036</v>
      </c>
      <c r="N17" s="19">
        <v>46391</v>
      </c>
      <c r="O17" s="17" t="s">
        <v>830</v>
      </c>
    </row>
    <row r="18" spans="1:15" x14ac:dyDescent="0.25">
      <c r="A18" s="17" t="s">
        <v>843</v>
      </c>
      <c r="B18" s="17" t="s">
        <v>69</v>
      </c>
      <c r="C18" s="17" t="s">
        <v>70</v>
      </c>
      <c r="D18" s="17"/>
      <c r="E18" s="17" t="s">
        <v>844</v>
      </c>
      <c r="F18" s="17"/>
      <c r="G18" s="17"/>
      <c r="H18" s="17" t="s">
        <v>845</v>
      </c>
      <c r="I18" s="17" t="s">
        <v>828</v>
      </c>
      <c r="J18" s="17" t="s">
        <v>535</v>
      </c>
      <c r="K18" s="18">
        <v>13.695</v>
      </c>
      <c r="L18" s="17" t="s">
        <v>74</v>
      </c>
      <c r="M18" s="19">
        <v>46035</v>
      </c>
      <c r="N18" s="19">
        <v>46389</v>
      </c>
      <c r="O18" s="17" t="s">
        <v>830</v>
      </c>
    </row>
    <row r="19" spans="1:15" x14ac:dyDescent="0.25">
      <c r="A19" s="17" t="s">
        <v>793</v>
      </c>
      <c r="B19" s="17" t="s">
        <v>69</v>
      </c>
      <c r="C19" s="17" t="s">
        <v>70</v>
      </c>
      <c r="D19" s="17"/>
      <c r="E19" s="17" t="s">
        <v>846</v>
      </c>
      <c r="F19" s="17"/>
      <c r="G19" s="17"/>
      <c r="H19" s="17" t="s">
        <v>795</v>
      </c>
      <c r="I19" s="17" t="s">
        <v>828</v>
      </c>
      <c r="J19" s="17" t="s">
        <v>307</v>
      </c>
      <c r="K19" s="18">
        <v>5.81</v>
      </c>
      <c r="L19" s="17" t="s">
        <v>74</v>
      </c>
      <c r="M19" s="19">
        <v>45994</v>
      </c>
      <c r="N19" s="19">
        <v>46347</v>
      </c>
      <c r="O19" s="17" t="s">
        <v>830</v>
      </c>
    </row>
    <row r="20" spans="1:15" x14ac:dyDescent="0.25">
      <c r="A20" s="17" t="s">
        <v>749</v>
      </c>
      <c r="B20" s="17" t="s">
        <v>69</v>
      </c>
      <c r="C20" s="17" t="s">
        <v>70</v>
      </c>
      <c r="D20" s="17"/>
      <c r="E20" s="17" t="s">
        <v>1183</v>
      </c>
      <c r="F20" s="17"/>
      <c r="G20" s="17"/>
      <c r="H20" s="17" t="s">
        <v>751</v>
      </c>
      <c r="I20" s="17" t="s">
        <v>828</v>
      </c>
      <c r="J20" s="17" t="s">
        <v>170</v>
      </c>
      <c r="K20" s="18">
        <v>24.425999999999998</v>
      </c>
      <c r="L20" s="17" t="s">
        <v>74</v>
      </c>
      <c r="M20" s="19">
        <v>46058</v>
      </c>
      <c r="N20" s="19">
        <v>46410</v>
      </c>
      <c r="O20" s="17" t="s">
        <v>830</v>
      </c>
    </row>
    <row r="21" spans="1:15" x14ac:dyDescent="0.25">
      <c r="A21" s="17" t="s">
        <v>749</v>
      </c>
      <c r="B21" s="17" t="s">
        <v>69</v>
      </c>
      <c r="C21" s="17" t="s">
        <v>70</v>
      </c>
      <c r="D21" s="17"/>
      <c r="E21" s="17" t="s">
        <v>847</v>
      </c>
      <c r="F21" s="17"/>
      <c r="G21" s="17"/>
      <c r="H21" s="17" t="s">
        <v>751</v>
      </c>
      <c r="I21" s="17" t="s">
        <v>828</v>
      </c>
      <c r="J21" s="17" t="s">
        <v>170</v>
      </c>
      <c r="K21" s="18">
        <v>0.41399999999999998</v>
      </c>
      <c r="L21" s="17" t="s">
        <v>74</v>
      </c>
      <c r="M21" s="19">
        <v>46036</v>
      </c>
      <c r="N21" s="19">
        <v>46389</v>
      </c>
      <c r="O21" s="17" t="s">
        <v>830</v>
      </c>
    </row>
    <row r="22" spans="1:15" x14ac:dyDescent="0.25">
      <c r="A22" s="17" t="s">
        <v>749</v>
      </c>
      <c r="B22" s="17" t="s">
        <v>69</v>
      </c>
      <c r="C22" s="17" t="s">
        <v>70</v>
      </c>
      <c r="D22" s="17"/>
      <c r="E22" s="17" t="s">
        <v>752</v>
      </c>
      <c r="F22" s="17"/>
      <c r="G22" s="17"/>
      <c r="H22" s="17" t="s">
        <v>751</v>
      </c>
      <c r="I22" s="17" t="s">
        <v>828</v>
      </c>
      <c r="J22" s="17" t="s">
        <v>170</v>
      </c>
      <c r="K22" s="18">
        <v>9.5220000000000002</v>
      </c>
      <c r="L22" s="17" t="s">
        <v>74</v>
      </c>
      <c r="M22" s="19">
        <v>46038</v>
      </c>
      <c r="N22" s="19">
        <v>46391</v>
      </c>
      <c r="O22" s="17" t="s">
        <v>830</v>
      </c>
    </row>
    <row r="23" spans="1:15" x14ac:dyDescent="0.25">
      <c r="A23" s="17" t="s">
        <v>793</v>
      </c>
      <c r="B23" s="17" t="s">
        <v>69</v>
      </c>
      <c r="C23" s="17" t="s">
        <v>70</v>
      </c>
      <c r="D23" s="17"/>
      <c r="E23" s="17" t="s">
        <v>794</v>
      </c>
      <c r="F23" s="17"/>
      <c r="G23" s="17"/>
      <c r="H23" s="17" t="s">
        <v>795</v>
      </c>
      <c r="I23" s="17" t="s">
        <v>828</v>
      </c>
      <c r="J23" s="17" t="s">
        <v>172</v>
      </c>
      <c r="K23" s="18">
        <v>24.9</v>
      </c>
      <c r="L23" s="17" t="s">
        <v>74</v>
      </c>
      <c r="M23" s="19">
        <v>46035</v>
      </c>
      <c r="N23" s="19">
        <v>46389</v>
      </c>
      <c r="O23" s="17" t="s">
        <v>830</v>
      </c>
    </row>
    <row r="24" spans="1:15" x14ac:dyDescent="0.25">
      <c r="A24" s="17" t="s">
        <v>785</v>
      </c>
      <c r="B24" s="17" t="s">
        <v>69</v>
      </c>
      <c r="C24" s="17" t="s">
        <v>70</v>
      </c>
      <c r="D24" s="17"/>
      <c r="E24" s="17" t="s">
        <v>851</v>
      </c>
      <c r="F24" s="17"/>
      <c r="G24" s="17"/>
      <c r="H24" s="17" t="s">
        <v>787</v>
      </c>
      <c r="I24" s="17" t="s">
        <v>828</v>
      </c>
      <c r="J24" s="17" t="s">
        <v>652</v>
      </c>
      <c r="K24" s="18">
        <v>18.27</v>
      </c>
      <c r="L24" s="17" t="s">
        <v>74</v>
      </c>
      <c r="M24" s="19">
        <v>45996</v>
      </c>
      <c r="N24" s="19">
        <v>46354</v>
      </c>
      <c r="O24" s="17" t="s">
        <v>830</v>
      </c>
    </row>
    <row r="25" spans="1:15" x14ac:dyDescent="0.25">
      <c r="A25" s="17" t="s">
        <v>813</v>
      </c>
      <c r="B25" s="17" t="s">
        <v>69</v>
      </c>
      <c r="C25" s="17" t="s">
        <v>70</v>
      </c>
      <c r="D25" s="17"/>
      <c r="E25" s="17" t="s">
        <v>853</v>
      </c>
      <c r="F25" s="17"/>
      <c r="G25" s="17"/>
      <c r="H25" s="17" t="s">
        <v>815</v>
      </c>
      <c r="I25" s="17" t="s">
        <v>828</v>
      </c>
      <c r="J25" s="17" t="s">
        <v>806</v>
      </c>
      <c r="K25" s="18">
        <v>0.41</v>
      </c>
      <c r="L25" s="17" t="s">
        <v>74</v>
      </c>
      <c r="M25" s="19">
        <v>45967</v>
      </c>
      <c r="N25" s="19">
        <v>46325</v>
      </c>
      <c r="O25" s="17" t="s">
        <v>830</v>
      </c>
    </row>
    <row r="26" spans="1:15" x14ac:dyDescent="0.25">
      <c r="A26" s="17" t="s">
        <v>813</v>
      </c>
      <c r="B26" s="17" t="s">
        <v>69</v>
      </c>
      <c r="C26" s="17" t="s">
        <v>70</v>
      </c>
      <c r="D26" s="17"/>
      <c r="E26" s="17" t="s">
        <v>852</v>
      </c>
      <c r="F26" s="17"/>
      <c r="G26" s="17"/>
      <c r="H26" s="17" t="s">
        <v>815</v>
      </c>
      <c r="I26" s="17" t="s">
        <v>828</v>
      </c>
      <c r="J26" s="17" t="s">
        <v>806</v>
      </c>
      <c r="K26" s="18">
        <v>36.49</v>
      </c>
      <c r="L26" s="17" t="s">
        <v>74</v>
      </c>
      <c r="M26" s="19">
        <v>45972</v>
      </c>
      <c r="N26" s="19">
        <v>46328</v>
      </c>
      <c r="O26" s="17" t="s">
        <v>830</v>
      </c>
    </row>
    <row r="27" spans="1:15" x14ac:dyDescent="0.25">
      <c r="A27" s="17" t="s">
        <v>807</v>
      </c>
      <c r="B27" s="17" t="s">
        <v>69</v>
      </c>
      <c r="C27" s="17" t="s">
        <v>70</v>
      </c>
      <c r="D27" s="17"/>
      <c r="E27" s="17" t="s">
        <v>855</v>
      </c>
      <c r="F27" s="17"/>
      <c r="G27" s="17"/>
      <c r="H27" s="17" t="s">
        <v>809</v>
      </c>
      <c r="I27" s="17" t="s">
        <v>828</v>
      </c>
      <c r="J27" s="17" t="s">
        <v>495</v>
      </c>
      <c r="K27" s="18">
        <v>0.82</v>
      </c>
      <c r="L27" s="17" t="s">
        <v>74</v>
      </c>
      <c r="M27" s="19">
        <v>45924</v>
      </c>
      <c r="N27" s="19">
        <v>46276</v>
      </c>
      <c r="O27" s="17" t="s">
        <v>830</v>
      </c>
    </row>
    <row r="28" spans="1:15" x14ac:dyDescent="0.25">
      <c r="A28" s="17" t="s">
        <v>807</v>
      </c>
      <c r="B28" s="17" t="s">
        <v>69</v>
      </c>
      <c r="C28" s="17" t="s">
        <v>70</v>
      </c>
      <c r="D28" s="17"/>
      <c r="E28" s="17" t="s">
        <v>854</v>
      </c>
      <c r="F28" s="17"/>
      <c r="G28" s="17"/>
      <c r="H28" s="17" t="s">
        <v>809</v>
      </c>
      <c r="I28" s="17" t="s">
        <v>828</v>
      </c>
      <c r="J28" s="17" t="s">
        <v>495</v>
      </c>
      <c r="K28" s="18">
        <v>25.83</v>
      </c>
      <c r="L28" s="17" t="s">
        <v>74</v>
      </c>
      <c r="M28" s="19">
        <v>45972</v>
      </c>
      <c r="N28" s="19">
        <v>46328</v>
      </c>
      <c r="O28" s="17" t="s">
        <v>830</v>
      </c>
    </row>
    <row r="29" spans="1:15" x14ac:dyDescent="0.25">
      <c r="A29" s="17" t="s">
        <v>816</v>
      </c>
      <c r="B29" s="17" t="s">
        <v>69</v>
      </c>
      <c r="C29" s="17" t="s">
        <v>70</v>
      </c>
      <c r="D29" s="17"/>
      <c r="E29" s="17" t="s">
        <v>856</v>
      </c>
      <c r="F29" s="17"/>
      <c r="G29" s="17"/>
      <c r="H29" s="17" t="s">
        <v>818</v>
      </c>
      <c r="I29" s="17" t="s">
        <v>828</v>
      </c>
      <c r="J29" s="17" t="s">
        <v>264</v>
      </c>
      <c r="K29" s="18">
        <v>17.22</v>
      </c>
      <c r="L29" s="17" t="s">
        <v>74</v>
      </c>
      <c r="M29" s="19">
        <v>45967</v>
      </c>
      <c r="N29" s="19">
        <v>46325</v>
      </c>
      <c r="O29" s="17" t="s">
        <v>830</v>
      </c>
    </row>
    <row r="30" spans="1:15" x14ac:dyDescent="0.25">
      <c r="A30" s="17" t="s">
        <v>709</v>
      </c>
      <c r="B30" s="17" t="s">
        <v>69</v>
      </c>
      <c r="C30" s="17" t="s">
        <v>70</v>
      </c>
      <c r="D30" s="17"/>
      <c r="E30" s="17" t="s">
        <v>710</v>
      </c>
      <c r="F30" s="17"/>
      <c r="G30" s="17"/>
      <c r="H30" s="17" t="s">
        <v>711</v>
      </c>
      <c r="I30" s="17" t="s">
        <v>828</v>
      </c>
      <c r="J30" s="17" t="s">
        <v>857</v>
      </c>
      <c r="K30" s="18">
        <v>3.024</v>
      </c>
      <c r="L30" s="17" t="s">
        <v>74</v>
      </c>
      <c r="M30" s="19">
        <v>45932</v>
      </c>
      <c r="N30" s="19">
        <v>46220</v>
      </c>
      <c r="O30" s="17" t="s">
        <v>830</v>
      </c>
    </row>
    <row r="31" spans="1:15" x14ac:dyDescent="0.25">
      <c r="A31" s="17" t="s">
        <v>858</v>
      </c>
      <c r="B31" s="17" t="s">
        <v>69</v>
      </c>
      <c r="C31" s="17" t="s">
        <v>70</v>
      </c>
      <c r="D31" s="17"/>
      <c r="E31" s="17" t="s">
        <v>859</v>
      </c>
      <c r="F31" s="17"/>
      <c r="G31" s="17"/>
      <c r="H31" s="17" t="s">
        <v>860</v>
      </c>
      <c r="I31" s="17" t="s">
        <v>828</v>
      </c>
      <c r="J31" s="17" t="s">
        <v>861</v>
      </c>
      <c r="K31" s="18">
        <v>0.18</v>
      </c>
      <c r="L31" s="17" t="s">
        <v>74</v>
      </c>
      <c r="M31" s="19">
        <v>45659</v>
      </c>
      <c r="N31" s="19">
        <v>46358</v>
      </c>
      <c r="O31" s="17" t="s">
        <v>830</v>
      </c>
    </row>
    <row r="32" spans="1:15" x14ac:dyDescent="0.25">
      <c r="A32" s="17" t="s">
        <v>862</v>
      </c>
      <c r="B32" s="17" t="s">
        <v>69</v>
      </c>
      <c r="C32" s="17" t="s">
        <v>70</v>
      </c>
      <c r="D32" s="17"/>
      <c r="E32" s="17" t="s">
        <v>863</v>
      </c>
      <c r="F32" s="17"/>
      <c r="G32" s="17"/>
      <c r="H32" s="17" t="s">
        <v>864</v>
      </c>
      <c r="I32" s="17" t="s">
        <v>828</v>
      </c>
      <c r="J32" s="17" t="s">
        <v>865</v>
      </c>
      <c r="K32" s="18">
        <v>0.12</v>
      </c>
      <c r="L32" s="17" t="s">
        <v>74</v>
      </c>
      <c r="M32" s="19">
        <v>45659</v>
      </c>
      <c r="N32" s="19">
        <v>46350</v>
      </c>
      <c r="O32" s="17" t="s">
        <v>830</v>
      </c>
    </row>
    <row r="33" spans="1:15" x14ac:dyDescent="0.25">
      <c r="A33" s="17" t="s">
        <v>762</v>
      </c>
      <c r="B33" s="17" t="s">
        <v>69</v>
      </c>
      <c r="C33" s="17" t="s">
        <v>70</v>
      </c>
      <c r="D33" s="17"/>
      <c r="E33" s="17" t="s">
        <v>866</v>
      </c>
      <c r="F33" s="17"/>
      <c r="G33" s="17"/>
      <c r="H33" s="17" t="s">
        <v>764</v>
      </c>
      <c r="I33" s="17" t="s">
        <v>828</v>
      </c>
      <c r="J33" s="17" t="s">
        <v>867</v>
      </c>
      <c r="K33" s="18">
        <v>0.38800000000000001</v>
      </c>
      <c r="L33" s="17" t="s">
        <v>74</v>
      </c>
      <c r="M33" s="19">
        <v>45966</v>
      </c>
      <c r="N33" s="19">
        <v>46177</v>
      </c>
      <c r="O33" s="17" t="s">
        <v>830</v>
      </c>
    </row>
    <row r="34" spans="1:15" x14ac:dyDescent="0.25">
      <c r="A34" s="17" t="s">
        <v>762</v>
      </c>
      <c r="B34" s="17" t="s">
        <v>69</v>
      </c>
      <c r="C34" s="17" t="s">
        <v>70</v>
      </c>
      <c r="D34" s="17"/>
      <c r="E34" s="17" t="s">
        <v>868</v>
      </c>
      <c r="F34" s="17"/>
      <c r="G34" s="17"/>
      <c r="H34" s="17" t="s">
        <v>764</v>
      </c>
      <c r="I34" s="17" t="s">
        <v>828</v>
      </c>
      <c r="J34" s="17" t="s">
        <v>867</v>
      </c>
      <c r="K34" s="18">
        <v>5.82</v>
      </c>
      <c r="L34" s="17" t="s">
        <v>74</v>
      </c>
      <c r="M34" s="19">
        <v>45979</v>
      </c>
      <c r="N34" s="19">
        <v>46211</v>
      </c>
      <c r="O34" s="17" t="s">
        <v>830</v>
      </c>
    </row>
    <row r="35" spans="1:15" x14ac:dyDescent="0.25">
      <c r="A35" s="17" t="s">
        <v>869</v>
      </c>
      <c r="B35" s="17" t="s">
        <v>69</v>
      </c>
      <c r="C35" s="17" t="s">
        <v>70</v>
      </c>
      <c r="D35" s="17"/>
      <c r="E35" s="17" t="s">
        <v>1148</v>
      </c>
      <c r="F35" s="17"/>
      <c r="G35" s="17"/>
      <c r="H35" s="17" t="s">
        <v>870</v>
      </c>
      <c r="I35" s="17" t="s">
        <v>828</v>
      </c>
      <c r="J35" s="17" t="s">
        <v>871</v>
      </c>
      <c r="K35" s="18">
        <v>16.103000000000002</v>
      </c>
      <c r="L35" s="17" t="s">
        <v>74</v>
      </c>
      <c r="M35" s="19">
        <v>46053</v>
      </c>
      <c r="N35" s="19">
        <v>46410</v>
      </c>
      <c r="O35" s="17" t="s">
        <v>830</v>
      </c>
    </row>
    <row r="36" spans="1:15" x14ac:dyDescent="0.25">
      <c r="A36" s="17" t="s">
        <v>802</v>
      </c>
      <c r="B36" s="17" t="s">
        <v>69</v>
      </c>
      <c r="C36" s="17" t="s">
        <v>70</v>
      </c>
      <c r="D36" s="17"/>
      <c r="E36" s="17" t="s">
        <v>872</v>
      </c>
      <c r="F36" s="17"/>
      <c r="G36" s="17"/>
      <c r="H36" s="17" t="s">
        <v>804</v>
      </c>
      <c r="I36" s="17" t="s">
        <v>828</v>
      </c>
      <c r="J36" s="17" t="s">
        <v>873</v>
      </c>
      <c r="K36" s="18">
        <v>8.5259999999999998</v>
      </c>
      <c r="L36" s="17" t="s">
        <v>74</v>
      </c>
      <c r="M36" s="19">
        <v>46038</v>
      </c>
      <c r="N36" s="19">
        <v>46389</v>
      </c>
      <c r="O36" s="17" t="s">
        <v>830</v>
      </c>
    </row>
    <row r="37" spans="1:15" x14ac:dyDescent="0.25">
      <c r="A37" s="17" t="s">
        <v>799</v>
      </c>
      <c r="B37" s="17" t="s">
        <v>69</v>
      </c>
      <c r="C37" s="17" t="s">
        <v>70</v>
      </c>
      <c r="D37" s="17"/>
      <c r="E37" s="17" t="s">
        <v>875</v>
      </c>
      <c r="F37" s="17"/>
      <c r="G37" s="17"/>
      <c r="H37" s="17" t="s">
        <v>801</v>
      </c>
      <c r="I37" s="17" t="s">
        <v>828</v>
      </c>
      <c r="J37" s="17" t="s">
        <v>874</v>
      </c>
      <c r="K37" s="18">
        <v>20.564</v>
      </c>
      <c r="L37" s="17" t="s">
        <v>74</v>
      </c>
      <c r="M37" s="19">
        <v>46049</v>
      </c>
      <c r="N37" s="19">
        <v>46402</v>
      </c>
      <c r="O37" s="17" t="s">
        <v>830</v>
      </c>
    </row>
    <row r="38" spans="1:15" x14ac:dyDescent="0.25">
      <c r="A38" s="17" t="s">
        <v>720</v>
      </c>
      <c r="B38" s="17" t="s">
        <v>69</v>
      </c>
      <c r="C38" s="17" t="s">
        <v>70</v>
      </c>
      <c r="D38" s="17"/>
      <c r="E38" s="17" t="s">
        <v>721</v>
      </c>
      <c r="F38" s="17"/>
      <c r="G38" s="17"/>
      <c r="H38" s="17" t="s">
        <v>722</v>
      </c>
      <c r="I38" s="17" t="s">
        <v>828</v>
      </c>
      <c r="J38" s="17" t="s">
        <v>876</v>
      </c>
      <c r="K38" s="18">
        <v>0</v>
      </c>
      <c r="L38" s="17" t="s">
        <v>74</v>
      </c>
      <c r="M38" s="19">
        <v>46036</v>
      </c>
      <c r="N38" s="19">
        <v>46389</v>
      </c>
      <c r="O38" s="17" t="s">
        <v>830</v>
      </c>
    </row>
    <row r="39" spans="1:15" x14ac:dyDescent="0.25">
      <c r="A39" s="17" t="s">
        <v>261</v>
      </c>
      <c r="B39" s="17" t="s">
        <v>69</v>
      </c>
      <c r="C39" s="17" t="s">
        <v>70</v>
      </c>
      <c r="D39" s="17"/>
      <c r="E39" s="17" t="s">
        <v>262</v>
      </c>
      <c r="F39" s="17"/>
      <c r="G39" s="17"/>
      <c r="H39" s="17" t="s">
        <v>263</v>
      </c>
      <c r="I39" s="17" t="s">
        <v>828</v>
      </c>
      <c r="J39" s="17" t="s">
        <v>877</v>
      </c>
      <c r="K39" s="18">
        <v>0.68400000000000005</v>
      </c>
      <c r="L39" s="17" t="s">
        <v>74</v>
      </c>
      <c r="M39" s="19">
        <v>45660</v>
      </c>
      <c r="N39" s="19">
        <v>46311</v>
      </c>
      <c r="O39" s="17" t="s">
        <v>830</v>
      </c>
    </row>
    <row r="40" spans="1:15" x14ac:dyDescent="0.25">
      <c r="A40" s="17" t="s">
        <v>878</v>
      </c>
      <c r="B40" s="17" t="s">
        <v>69</v>
      </c>
      <c r="C40" s="17" t="s">
        <v>70</v>
      </c>
      <c r="D40" s="17"/>
      <c r="E40" s="17" t="s">
        <v>879</v>
      </c>
      <c r="F40" s="17"/>
      <c r="G40" s="17"/>
      <c r="H40" s="17" t="s">
        <v>880</v>
      </c>
      <c r="I40" s="17" t="s">
        <v>828</v>
      </c>
      <c r="J40" s="17" t="s">
        <v>881</v>
      </c>
      <c r="K40" s="18">
        <v>0.9</v>
      </c>
      <c r="L40" s="17" t="s">
        <v>74</v>
      </c>
      <c r="M40" s="19">
        <v>45975</v>
      </c>
      <c r="N40" s="19">
        <v>47038</v>
      </c>
      <c r="O40" s="17" t="s">
        <v>830</v>
      </c>
    </row>
    <row r="41" spans="1:15" x14ac:dyDescent="0.25">
      <c r="A41" s="17" t="s">
        <v>882</v>
      </c>
      <c r="B41" s="17" t="s">
        <v>69</v>
      </c>
      <c r="C41" s="17" t="s">
        <v>70</v>
      </c>
      <c r="D41" s="17"/>
      <c r="E41" s="17" t="s">
        <v>1150</v>
      </c>
      <c r="F41" s="17"/>
      <c r="G41" s="17"/>
      <c r="H41" s="17" t="s">
        <v>883</v>
      </c>
      <c r="I41" s="17" t="s">
        <v>828</v>
      </c>
      <c r="J41" s="17" t="s">
        <v>884</v>
      </c>
      <c r="K41" s="18">
        <v>3.1320000000000001</v>
      </c>
      <c r="L41" s="17" t="s">
        <v>74</v>
      </c>
      <c r="M41" s="19">
        <v>46052</v>
      </c>
      <c r="N41" s="19">
        <v>47117</v>
      </c>
      <c r="O41" s="17" t="s">
        <v>830</v>
      </c>
    </row>
    <row r="42" spans="1:15" x14ac:dyDescent="0.25">
      <c r="A42" s="17" t="s">
        <v>176</v>
      </c>
      <c r="B42" s="17" t="s">
        <v>69</v>
      </c>
      <c r="C42" s="17" t="s">
        <v>70</v>
      </c>
      <c r="D42" s="17"/>
      <c r="E42" s="17" t="s">
        <v>885</v>
      </c>
      <c r="F42" s="17"/>
      <c r="G42" s="17"/>
      <c r="H42" s="17" t="s">
        <v>178</v>
      </c>
      <c r="I42" s="17" t="s">
        <v>828</v>
      </c>
      <c r="J42" s="17" t="s">
        <v>886</v>
      </c>
      <c r="K42" s="18">
        <v>0.28799999999999998</v>
      </c>
      <c r="L42" s="17" t="s">
        <v>74</v>
      </c>
      <c r="M42" s="19">
        <v>45931</v>
      </c>
      <c r="N42" s="19">
        <v>47010</v>
      </c>
      <c r="O42" s="17" t="s">
        <v>830</v>
      </c>
    </row>
    <row r="43" spans="1:15" x14ac:dyDescent="0.25">
      <c r="A43" s="17" t="s">
        <v>198</v>
      </c>
      <c r="B43" s="17" t="s">
        <v>69</v>
      </c>
      <c r="C43" s="17" t="s">
        <v>70</v>
      </c>
      <c r="D43" s="17"/>
      <c r="E43" s="17" t="s">
        <v>887</v>
      </c>
      <c r="F43" s="17"/>
      <c r="G43" s="17"/>
      <c r="H43" s="17" t="s">
        <v>200</v>
      </c>
      <c r="I43" s="17" t="s">
        <v>828</v>
      </c>
      <c r="J43" s="17" t="s">
        <v>888</v>
      </c>
      <c r="K43" s="18">
        <v>1.728</v>
      </c>
      <c r="L43" s="17" t="s">
        <v>74</v>
      </c>
      <c r="M43" s="19">
        <v>45808</v>
      </c>
      <c r="N43" s="19">
        <v>46876</v>
      </c>
      <c r="O43" s="17" t="s">
        <v>830</v>
      </c>
    </row>
    <row r="44" spans="1:15" x14ac:dyDescent="0.25">
      <c r="A44" s="17" t="s">
        <v>889</v>
      </c>
      <c r="B44" s="17" t="s">
        <v>69</v>
      </c>
      <c r="C44" s="17" t="s">
        <v>70</v>
      </c>
      <c r="D44" s="17"/>
      <c r="E44" s="17" t="s">
        <v>890</v>
      </c>
      <c r="F44" s="17"/>
      <c r="G44" s="17"/>
      <c r="H44" s="17" t="s">
        <v>891</v>
      </c>
      <c r="I44" s="17" t="s">
        <v>828</v>
      </c>
      <c r="J44" s="17" t="s">
        <v>892</v>
      </c>
      <c r="K44" s="18">
        <v>2.1240000000000001</v>
      </c>
      <c r="L44" s="17" t="s">
        <v>74</v>
      </c>
      <c r="M44" s="19">
        <v>45919</v>
      </c>
      <c r="N44" s="19">
        <v>46995</v>
      </c>
      <c r="O44" s="17" t="s">
        <v>830</v>
      </c>
    </row>
    <row r="45" spans="1:15" x14ac:dyDescent="0.25">
      <c r="A45" s="17" t="s">
        <v>245</v>
      </c>
      <c r="B45" s="17" t="s">
        <v>69</v>
      </c>
      <c r="C45" s="17" t="s">
        <v>70</v>
      </c>
      <c r="D45" s="17"/>
      <c r="E45" s="17" t="s">
        <v>246</v>
      </c>
      <c r="F45" s="17"/>
      <c r="G45" s="17"/>
      <c r="H45" s="17" t="s">
        <v>247</v>
      </c>
      <c r="I45" s="17" t="s">
        <v>828</v>
      </c>
      <c r="J45" s="17" t="s">
        <v>893</v>
      </c>
      <c r="K45" s="18">
        <v>6.78</v>
      </c>
      <c r="L45" s="17" t="s">
        <v>74</v>
      </c>
      <c r="M45" s="19">
        <v>46004</v>
      </c>
      <c r="N45" s="19">
        <v>47075</v>
      </c>
      <c r="O45" s="17" t="s">
        <v>830</v>
      </c>
    </row>
    <row r="46" spans="1:15" x14ac:dyDescent="0.25">
      <c r="A46" s="17" t="s">
        <v>211</v>
      </c>
      <c r="B46" s="17" t="s">
        <v>69</v>
      </c>
      <c r="C46" s="17" t="s">
        <v>70</v>
      </c>
      <c r="D46" s="17"/>
      <c r="E46" s="17" t="s">
        <v>214</v>
      </c>
      <c r="F46" s="17"/>
      <c r="G46" s="17"/>
      <c r="H46" s="17" t="s">
        <v>213</v>
      </c>
      <c r="I46" s="17" t="s">
        <v>828</v>
      </c>
      <c r="J46" s="17" t="s">
        <v>895</v>
      </c>
      <c r="K46" s="18">
        <v>3.5999999999999997E-2</v>
      </c>
      <c r="L46" s="17" t="s">
        <v>74</v>
      </c>
      <c r="M46" s="19">
        <v>46053</v>
      </c>
      <c r="N46" s="19">
        <v>47025</v>
      </c>
      <c r="O46" s="17" t="s">
        <v>830</v>
      </c>
    </row>
    <row r="47" spans="1:15" x14ac:dyDescent="0.25">
      <c r="A47" s="17" t="s">
        <v>218</v>
      </c>
      <c r="B47" s="17" t="s">
        <v>69</v>
      </c>
      <c r="C47" s="17" t="s">
        <v>70</v>
      </c>
      <c r="D47" s="17"/>
      <c r="E47" s="17" t="s">
        <v>894</v>
      </c>
      <c r="F47" s="17"/>
      <c r="G47" s="17"/>
      <c r="H47" s="17" t="s">
        <v>217</v>
      </c>
      <c r="I47" s="17" t="s">
        <v>828</v>
      </c>
      <c r="J47" s="17" t="s">
        <v>895</v>
      </c>
      <c r="K47" s="18">
        <v>5.82</v>
      </c>
      <c r="L47" s="17" t="s">
        <v>74</v>
      </c>
      <c r="M47" s="19">
        <v>45952</v>
      </c>
      <c r="N47" s="19">
        <v>47023</v>
      </c>
      <c r="O47" s="17" t="s">
        <v>830</v>
      </c>
    </row>
    <row r="48" spans="1:15" x14ac:dyDescent="0.25">
      <c r="A48" s="17" t="s">
        <v>896</v>
      </c>
      <c r="B48" s="17" t="s">
        <v>69</v>
      </c>
      <c r="C48" s="17" t="s">
        <v>70</v>
      </c>
      <c r="D48" s="17"/>
      <c r="E48" s="17" t="s">
        <v>897</v>
      </c>
      <c r="F48" s="17"/>
      <c r="G48" s="17"/>
      <c r="H48" s="17" t="s">
        <v>898</v>
      </c>
      <c r="I48" s="17" t="s">
        <v>828</v>
      </c>
      <c r="J48" s="17" t="s">
        <v>899</v>
      </c>
      <c r="K48" s="18">
        <v>4.38</v>
      </c>
      <c r="L48" s="17" t="s">
        <v>74</v>
      </c>
      <c r="M48" s="19">
        <v>45999</v>
      </c>
      <c r="N48" s="19">
        <v>47068</v>
      </c>
      <c r="O48" s="17" t="s">
        <v>830</v>
      </c>
    </row>
    <row r="49" spans="1:15" x14ac:dyDescent="0.25">
      <c r="A49" s="17" t="s">
        <v>265</v>
      </c>
      <c r="B49" s="17" t="s">
        <v>69</v>
      </c>
      <c r="C49" s="17" t="s">
        <v>70</v>
      </c>
      <c r="D49" s="17"/>
      <c r="E49" s="17" t="s">
        <v>266</v>
      </c>
      <c r="F49" s="17"/>
      <c r="G49" s="17"/>
      <c r="H49" s="17" t="s">
        <v>267</v>
      </c>
      <c r="I49" s="17" t="s">
        <v>828</v>
      </c>
      <c r="J49" s="17" t="s">
        <v>900</v>
      </c>
      <c r="K49" s="18">
        <v>2.1960000000000002</v>
      </c>
      <c r="L49" s="17" t="s">
        <v>74</v>
      </c>
      <c r="M49" s="19">
        <v>45660</v>
      </c>
      <c r="N49" s="19">
        <v>46523</v>
      </c>
      <c r="O49" s="17" t="s">
        <v>830</v>
      </c>
    </row>
    <row r="50" spans="1:15" x14ac:dyDescent="0.25">
      <c r="A50" s="17" t="s">
        <v>271</v>
      </c>
      <c r="B50" s="17" t="s">
        <v>69</v>
      </c>
      <c r="C50" s="17" t="s">
        <v>70</v>
      </c>
      <c r="D50" s="17"/>
      <c r="E50" s="17" t="s">
        <v>272</v>
      </c>
      <c r="F50" s="17"/>
      <c r="G50" s="17"/>
      <c r="H50" s="17" t="s">
        <v>273</v>
      </c>
      <c r="I50" s="17" t="s">
        <v>828</v>
      </c>
      <c r="J50" s="17" t="s">
        <v>901</v>
      </c>
      <c r="K50" s="18">
        <v>4.8600000000000003</v>
      </c>
      <c r="L50" s="17" t="s">
        <v>74</v>
      </c>
      <c r="M50" s="19">
        <v>45301</v>
      </c>
      <c r="N50" s="19">
        <v>46355</v>
      </c>
      <c r="O50" s="17" t="s">
        <v>830</v>
      </c>
    </row>
    <row r="51" spans="1:15" x14ac:dyDescent="0.25">
      <c r="A51" s="17" t="s">
        <v>194</v>
      </c>
      <c r="B51" s="17" t="s">
        <v>69</v>
      </c>
      <c r="C51" s="17" t="s">
        <v>70</v>
      </c>
      <c r="D51" s="17"/>
      <c r="E51" s="17" t="s">
        <v>1208</v>
      </c>
      <c r="F51" s="17"/>
      <c r="G51" s="17"/>
      <c r="H51" s="17" t="s">
        <v>196</v>
      </c>
      <c r="I51" s="17" t="s">
        <v>828</v>
      </c>
      <c r="J51" s="17" t="s">
        <v>902</v>
      </c>
      <c r="K51" s="18">
        <v>9.1080000000000005</v>
      </c>
      <c r="L51" s="17" t="s">
        <v>74</v>
      </c>
      <c r="M51" s="19">
        <v>46063</v>
      </c>
      <c r="N51" s="19">
        <v>47088</v>
      </c>
      <c r="O51" s="17" t="s">
        <v>830</v>
      </c>
    </row>
    <row r="52" spans="1:15" x14ac:dyDescent="0.25">
      <c r="A52" s="17" t="s">
        <v>903</v>
      </c>
      <c r="B52" s="17" t="s">
        <v>69</v>
      </c>
      <c r="C52" s="17" t="s">
        <v>70</v>
      </c>
      <c r="D52" s="17"/>
      <c r="E52" s="17" t="s">
        <v>904</v>
      </c>
      <c r="F52" s="17"/>
      <c r="G52" s="17"/>
      <c r="H52" s="17" t="s">
        <v>905</v>
      </c>
      <c r="I52" s="17" t="s">
        <v>828</v>
      </c>
      <c r="J52" s="17" t="s">
        <v>906</v>
      </c>
      <c r="K52" s="18">
        <v>0.504</v>
      </c>
      <c r="L52" s="17" t="s">
        <v>74</v>
      </c>
      <c r="M52" s="19">
        <v>45966</v>
      </c>
      <c r="N52" s="19">
        <v>47026</v>
      </c>
      <c r="O52" s="17" t="s">
        <v>830</v>
      </c>
    </row>
    <row r="53" spans="1:15" x14ac:dyDescent="0.25">
      <c r="A53" s="17" t="s">
        <v>211</v>
      </c>
      <c r="B53" s="17" t="s">
        <v>69</v>
      </c>
      <c r="C53" s="17" t="s">
        <v>70</v>
      </c>
      <c r="D53" s="17"/>
      <c r="E53" s="17" t="s">
        <v>212</v>
      </c>
      <c r="F53" s="17"/>
      <c r="G53" s="17"/>
      <c r="H53" s="17" t="s">
        <v>213</v>
      </c>
      <c r="I53" s="17" t="s">
        <v>828</v>
      </c>
      <c r="J53" s="17" t="s">
        <v>907</v>
      </c>
      <c r="K53" s="18">
        <v>4.1760000000000002</v>
      </c>
      <c r="L53" s="17" t="s">
        <v>74</v>
      </c>
      <c r="M53" s="19">
        <v>46050</v>
      </c>
      <c r="N53" s="19">
        <v>47117</v>
      </c>
      <c r="O53" s="17" t="s">
        <v>830</v>
      </c>
    </row>
    <row r="54" spans="1:15" x14ac:dyDescent="0.25">
      <c r="A54" s="17" t="s">
        <v>908</v>
      </c>
      <c r="B54" s="17" t="s">
        <v>69</v>
      </c>
      <c r="C54" s="17" t="s">
        <v>70</v>
      </c>
      <c r="D54" s="17"/>
      <c r="E54" s="17" t="s">
        <v>909</v>
      </c>
      <c r="F54" s="17"/>
      <c r="G54" s="17"/>
      <c r="H54" s="17" t="s">
        <v>910</v>
      </c>
      <c r="I54" s="17" t="s">
        <v>828</v>
      </c>
      <c r="J54" s="17" t="s">
        <v>911</v>
      </c>
      <c r="K54" s="18">
        <v>12.06</v>
      </c>
      <c r="L54" s="17" t="s">
        <v>74</v>
      </c>
      <c r="M54" s="19">
        <v>46042</v>
      </c>
      <c r="N54" s="19">
        <v>47117</v>
      </c>
      <c r="O54" s="17" t="s">
        <v>830</v>
      </c>
    </row>
    <row r="55" spans="1:15" x14ac:dyDescent="0.25">
      <c r="A55" s="17" t="s">
        <v>908</v>
      </c>
      <c r="B55" s="17" t="s">
        <v>69</v>
      </c>
      <c r="C55" s="17" t="s">
        <v>70</v>
      </c>
      <c r="D55" s="17"/>
      <c r="E55" s="17" t="s">
        <v>912</v>
      </c>
      <c r="F55" s="17"/>
      <c r="G55" s="17"/>
      <c r="H55" s="17" t="s">
        <v>910</v>
      </c>
      <c r="I55" s="17" t="s">
        <v>828</v>
      </c>
      <c r="J55" s="17" t="s">
        <v>911</v>
      </c>
      <c r="K55" s="18">
        <v>0.108</v>
      </c>
      <c r="L55" s="17" t="s">
        <v>74</v>
      </c>
      <c r="M55" s="19">
        <v>45961</v>
      </c>
      <c r="N55" s="19">
        <v>47025</v>
      </c>
      <c r="O55" s="17" t="s">
        <v>830</v>
      </c>
    </row>
    <row r="56" spans="1:15" x14ac:dyDescent="0.25">
      <c r="A56" s="17" t="s">
        <v>231</v>
      </c>
      <c r="B56" s="17" t="s">
        <v>69</v>
      </c>
      <c r="C56" s="17" t="s">
        <v>70</v>
      </c>
      <c r="D56" s="17"/>
      <c r="E56" s="17" t="s">
        <v>916</v>
      </c>
      <c r="F56" s="17"/>
      <c r="G56" s="17"/>
      <c r="H56" s="17" t="s">
        <v>229</v>
      </c>
      <c r="I56" s="17" t="s">
        <v>828</v>
      </c>
      <c r="J56" s="17" t="s">
        <v>917</v>
      </c>
      <c r="K56" s="18">
        <v>3.72</v>
      </c>
      <c r="L56" s="17" t="s">
        <v>74</v>
      </c>
      <c r="M56" s="19">
        <v>45940</v>
      </c>
      <c r="N56" s="19">
        <v>47012</v>
      </c>
      <c r="O56" s="17" t="s">
        <v>830</v>
      </c>
    </row>
    <row r="57" spans="1:15" x14ac:dyDescent="0.25">
      <c r="A57" s="17" t="s">
        <v>918</v>
      </c>
      <c r="B57" s="17" t="s">
        <v>69</v>
      </c>
      <c r="C57" s="17" t="s">
        <v>70</v>
      </c>
      <c r="D57" s="17" t="s">
        <v>1146</v>
      </c>
      <c r="E57" s="17" t="s">
        <v>919</v>
      </c>
      <c r="F57" s="17"/>
      <c r="G57" s="17"/>
      <c r="H57" s="17" t="s">
        <v>920</v>
      </c>
      <c r="I57" s="17" t="s">
        <v>828</v>
      </c>
      <c r="J57" s="17" t="s">
        <v>917</v>
      </c>
      <c r="K57" s="18">
        <v>0.06</v>
      </c>
      <c r="L57" s="17" t="s">
        <v>74</v>
      </c>
      <c r="M57" s="19">
        <v>45660</v>
      </c>
      <c r="N57" s="19">
        <v>46338</v>
      </c>
      <c r="O57" s="17" t="s">
        <v>830</v>
      </c>
    </row>
    <row r="58" spans="1:15" x14ac:dyDescent="0.25">
      <c r="A58" s="17" t="s">
        <v>913</v>
      </c>
      <c r="B58" s="17" t="s">
        <v>69</v>
      </c>
      <c r="C58" s="17" t="s">
        <v>70</v>
      </c>
      <c r="D58" s="17"/>
      <c r="E58" s="17" t="s">
        <v>914</v>
      </c>
      <c r="F58" s="17"/>
      <c r="G58" s="17"/>
      <c r="H58" s="17" t="s">
        <v>915</v>
      </c>
      <c r="I58" s="17" t="s">
        <v>828</v>
      </c>
      <c r="J58" s="17" t="s">
        <v>921</v>
      </c>
      <c r="K58" s="18">
        <v>6.3</v>
      </c>
      <c r="L58" s="17" t="s">
        <v>74</v>
      </c>
      <c r="M58" s="19">
        <v>45979</v>
      </c>
      <c r="N58" s="19">
        <v>47052</v>
      </c>
      <c r="O58" s="17" t="s">
        <v>830</v>
      </c>
    </row>
    <row r="59" spans="1:15" x14ac:dyDescent="0.25">
      <c r="A59" s="17" t="s">
        <v>922</v>
      </c>
      <c r="B59" s="17" t="s">
        <v>69</v>
      </c>
      <c r="C59" s="17" t="s">
        <v>70</v>
      </c>
      <c r="D59" s="17"/>
      <c r="E59" s="17" t="s">
        <v>923</v>
      </c>
      <c r="F59" s="17"/>
      <c r="G59" s="17"/>
      <c r="H59" s="17" t="s">
        <v>224</v>
      </c>
      <c r="I59" s="17" t="s">
        <v>828</v>
      </c>
      <c r="J59" s="17" t="s">
        <v>924</v>
      </c>
      <c r="K59" s="18">
        <v>7.44</v>
      </c>
      <c r="L59" s="17" t="s">
        <v>74</v>
      </c>
      <c r="M59" s="19">
        <v>45927</v>
      </c>
      <c r="N59" s="19">
        <v>47004</v>
      </c>
      <c r="O59" s="17" t="s">
        <v>830</v>
      </c>
    </row>
    <row r="60" spans="1:15" x14ac:dyDescent="0.25">
      <c r="A60" s="17" t="s">
        <v>201</v>
      </c>
      <c r="B60" s="17" t="s">
        <v>69</v>
      </c>
      <c r="C60" s="17" t="s">
        <v>70</v>
      </c>
      <c r="D60" s="17"/>
      <c r="E60" s="17" t="s">
        <v>1169</v>
      </c>
      <c r="F60" s="17"/>
      <c r="G60" s="17"/>
      <c r="H60" s="17" t="s">
        <v>203</v>
      </c>
      <c r="I60" s="17" t="s">
        <v>828</v>
      </c>
      <c r="J60" s="17" t="s">
        <v>925</v>
      </c>
      <c r="K60" s="18">
        <v>7.02</v>
      </c>
      <c r="L60" s="17" t="s">
        <v>74</v>
      </c>
      <c r="M60" s="19">
        <v>46057</v>
      </c>
      <c r="N60" s="19">
        <v>47122</v>
      </c>
      <c r="O60" s="17" t="s">
        <v>830</v>
      </c>
    </row>
    <row r="61" spans="1:15" x14ac:dyDescent="0.25">
      <c r="A61" s="17" t="s">
        <v>568</v>
      </c>
      <c r="B61" s="17" t="s">
        <v>69</v>
      </c>
      <c r="C61" s="17" t="s">
        <v>70</v>
      </c>
      <c r="D61" s="17"/>
      <c r="E61" s="17" t="s">
        <v>569</v>
      </c>
      <c r="F61" s="17"/>
      <c r="G61" s="17"/>
      <c r="H61" s="17" t="s">
        <v>570</v>
      </c>
      <c r="I61" s="17" t="s">
        <v>828</v>
      </c>
      <c r="J61" s="17" t="s">
        <v>926</v>
      </c>
      <c r="K61" s="18">
        <v>31.5</v>
      </c>
      <c r="L61" s="17" t="s">
        <v>74</v>
      </c>
      <c r="M61" s="19">
        <v>45629</v>
      </c>
      <c r="N61" s="19">
        <v>46330</v>
      </c>
      <c r="O61" s="17" t="s">
        <v>830</v>
      </c>
    </row>
    <row r="62" spans="1:15" x14ac:dyDescent="0.25">
      <c r="A62" s="17" t="s">
        <v>256</v>
      </c>
      <c r="B62" s="17" t="s">
        <v>69</v>
      </c>
      <c r="C62" s="17" t="s">
        <v>70</v>
      </c>
      <c r="D62" s="17"/>
      <c r="E62" s="17" t="s">
        <v>257</v>
      </c>
      <c r="F62" s="17"/>
      <c r="G62" s="17"/>
      <c r="H62" s="17" t="s">
        <v>255</v>
      </c>
      <c r="I62" s="17" t="s">
        <v>828</v>
      </c>
      <c r="J62" s="17" t="s">
        <v>927</v>
      </c>
      <c r="K62" s="18">
        <v>6.72</v>
      </c>
      <c r="L62" s="17" t="s">
        <v>74</v>
      </c>
      <c r="M62" s="19">
        <v>45967</v>
      </c>
      <c r="N62" s="19">
        <v>47032</v>
      </c>
      <c r="O62" s="17" t="s">
        <v>830</v>
      </c>
    </row>
    <row r="63" spans="1:15" x14ac:dyDescent="0.25">
      <c r="A63" s="17" t="s">
        <v>928</v>
      </c>
      <c r="B63" s="17" t="s">
        <v>69</v>
      </c>
      <c r="C63" s="17" t="s">
        <v>70</v>
      </c>
      <c r="D63" s="17"/>
      <c r="E63" s="17" t="s">
        <v>929</v>
      </c>
      <c r="F63" s="17"/>
      <c r="G63" s="17"/>
      <c r="H63" s="17" t="s">
        <v>930</v>
      </c>
      <c r="I63" s="17" t="s">
        <v>828</v>
      </c>
      <c r="J63" s="17" t="s">
        <v>931</v>
      </c>
      <c r="K63" s="18">
        <v>5.82</v>
      </c>
      <c r="L63" s="17" t="s">
        <v>74</v>
      </c>
      <c r="M63" s="19">
        <v>45967</v>
      </c>
      <c r="N63" s="19">
        <v>47026</v>
      </c>
      <c r="O63" s="17" t="s">
        <v>830</v>
      </c>
    </row>
    <row r="64" spans="1:15" x14ac:dyDescent="0.25">
      <c r="A64" s="17" t="s">
        <v>183</v>
      </c>
      <c r="B64" s="17" t="s">
        <v>69</v>
      </c>
      <c r="C64" s="17" t="s">
        <v>70</v>
      </c>
      <c r="D64" s="17"/>
      <c r="E64" s="17" t="s">
        <v>187</v>
      </c>
      <c r="F64" s="17"/>
      <c r="G64" s="17"/>
      <c r="H64" s="17" t="s">
        <v>185</v>
      </c>
      <c r="I64" s="17" t="s">
        <v>828</v>
      </c>
      <c r="J64" s="17" t="s">
        <v>932</v>
      </c>
      <c r="K64" s="18">
        <v>5.94</v>
      </c>
      <c r="L64" s="17" t="s">
        <v>74</v>
      </c>
      <c r="M64" s="19">
        <v>46008</v>
      </c>
      <c r="N64" s="19">
        <v>47080</v>
      </c>
      <c r="O64" s="17" t="s">
        <v>830</v>
      </c>
    </row>
    <row r="65" spans="1:15" x14ac:dyDescent="0.25">
      <c r="A65" s="17" t="s">
        <v>258</v>
      </c>
      <c r="B65" s="17" t="s">
        <v>69</v>
      </c>
      <c r="C65" s="17" t="s">
        <v>70</v>
      </c>
      <c r="D65" s="17"/>
      <c r="E65" s="17" t="s">
        <v>259</v>
      </c>
      <c r="F65" s="17"/>
      <c r="G65" s="17"/>
      <c r="H65" s="17" t="s">
        <v>260</v>
      </c>
      <c r="I65" s="17" t="s">
        <v>828</v>
      </c>
      <c r="J65" s="17" t="s">
        <v>933</v>
      </c>
      <c r="K65" s="18">
        <v>3.8159999999999998</v>
      </c>
      <c r="L65" s="17" t="s">
        <v>74</v>
      </c>
      <c r="M65" s="19">
        <v>45996</v>
      </c>
      <c r="N65" s="19">
        <v>47058</v>
      </c>
      <c r="O65" s="17" t="s">
        <v>830</v>
      </c>
    </row>
    <row r="66" spans="1:15" x14ac:dyDescent="0.25">
      <c r="A66" s="17" t="s">
        <v>268</v>
      </c>
      <c r="B66" s="17" t="s">
        <v>69</v>
      </c>
      <c r="C66" s="17" t="s">
        <v>70</v>
      </c>
      <c r="D66" s="17"/>
      <c r="E66" s="17" t="s">
        <v>269</v>
      </c>
      <c r="F66" s="17"/>
      <c r="G66" s="17"/>
      <c r="H66" s="17" t="s">
        <v>270</v>
      </c>
      <c r="I66" s="17" t="s">
        <v>828</v>
      </c>
      <c r="J66" s="17" t="s">
        <v>933</v>
      </c>
      <c r="K66" s="18">
        <v>0.72</v>
      </c>
      <c r="L66" s="17" t="s">
        <v>74</v>
      </c>
      <c r="M66" s="19">
        <v>45660</v>
      </c>
      <c r="N66" s="19">
        <v>46710</v>
      </c>
      <c r="O66" s="17" t="s">
        <v>830</v>
      </c>
    </row>
    <row r="67" spans="1:15" x14ac:dyDescent="0.25">
      <c r="A67" s="17" t="s">
        <v>934</v>
      </c>
      <c r="B67" s="17" t="s">
        <v>69</v>
      </c>
      <c r="C67" s="17" t="s">
        <v>70</v>
      </c>
      <c r="D67" s="17" t="s">
        <v>1146</v>
      </c>
      <c r="E67" s="17" t="s">
        <v>935</v>
      </c>
      <c r="F67" s="17"/>
      <c r="G67" s="17"/>
      <c r="H67" s="17" t="s">
        <v>936</v>
      </c>
      <c r="I67" s="17" t="s">
        <v>828</v>
      </c>
      <c r="J67" s="17" t="s">
        <v>933</v>
      </c>
      <c r="K67" s="18">
        <v>2.85</v>
      </c>
      <c r="L67" s="17" t="s">
        <v>74</v>
      </c>
      <c r="M67" s="19">
        <v>45838</v>
      </c>
      <c r="N67" s="19">
        <v>46153</v>
      </c>
      <c r="O67" s="17" t="s">
        <v>830</v>
      </c>
    </row>
    <row r="68" spans="1:15" x14ac:dyDescent="0.25">
      <c r="A68" s="17" t="s">
        <v>275</v>
      </c>
      <c r="B68" s="17" t="s">
        <v>69</v>
      </c>
      <c r="C68" s="17" t="s">
        <v>70</v>
      </c>
      <c r="D68" s="17"/>
      <c r="E68" s="17" t="s">
        <v>276</v>
      </c>
      <c r="F68" s="17"/>
      <c r="G68" s="17"/>
      <c r="H68" s="17" t="s">
        <v>277</v>
      </c>
      <c r="I68" s="17" t="s">
        <v>828</v>
      </c>
      <c r="J68" s="17" t="s">
        <v>937</v>
      </c>
      <c r="K68" s="18">
        <v>1.512</v>
      </c>
      <c r="L68" s="17" t="s">
        <v>74</v>
      </c>
      <c r="M68" s="19">
        <v>45660</v>
      </c>
      <c r="N68" s="19">
        <v>46355</v>
      </c>
      <c r="O68" s="17" t="s">
        <v>830</v>
      </c>
    </row>
    <row r="69" spans="1:15" x14ac:dyDescent="0.25">
      <c r="A69" s="17" t="s">
        <v>278</v>
      </c>
      <c r="B69" s="17" t="s">
        <v>69</v>
      </c>
      <c r="C69" s="17" t="s">
        <v>70</v>
      </c>
      <c r="D69" s="17"/>
      <c r="E69" s="17" t="s">
        <v>279</v>
      </c>
      <c r="F69" s="17"/>
      <c r="G69" s="17"/>
      <c r="H69" s="17" t="s">
        <v>280</v>
      </c>
      <c r="I69" s="17" t="s">
        <v>828</v>
      </c>
      <c r="J69" s="17" t="s">
        <v>937</v>
      </c>
      <c r="K69" s="18">
        <v>0.57599999999999996</v>
      </c>
      <c r="L69" s="17" t="s">
        <v>74</v>
      </c>
      <c r="M69" s="19">
        <v>45660</v>
      </c>
      <c r="N69" s="19">
        <v>46565</v>
      </c>
      <c r="O69" s="17" t="s">
        <v>830</v>
      </c>
    </row>
    <row r="70" spans="1:15" x14ac:dyDescent="0.25">
      <c r="A70" s="17" t="s">
        <v>191</v>
      </c>
      <c r="B70" s="17" t="s">
        <v>69</v>
      </c>
      <c r="C70" s="17" t="s">
        <v>70</v>
      </c>
      <c r="D70" s="17"/>
      <c r="E70" s="17" t="s">
        <v>192</v>
      </c>
      <c r="F70" s="17"/>
      <c r="G70" s="17"/>
      <c r="H70" s="17" t="s">
        <v>193</v>
      </c>
      <c r="I70" s="17" t="s">
        <v>828</v>
      </c>
      <c r="J70" s="17" t="s">
        <v>938</v>
      </c>
      <c r="K70" s="18">
        <v>3.2040000000000002</v>
      </c>
      <c r="L70" s="17" t="s">
        <v>74</v>
      </c>
      <c r="M70" s="19">
        <v>45950</v>
      </c>
      <c r="N70" s="19">
        <v>47020</v>
      </c>
      <c r="O70" s="17" t="s">
        <v>830</v>
      </c>
    </row>
    <row r="71" spans="1:15" x14ac:dyDescent="0.25">
      <c r="A71" s="17" t="s">
        <v>237</v>
      </c>
      <c r="B71" s="17" t="s">
        <v>69</v>
      </c>
      <c r="C71" s="17" t="s">
        <v>70</v>
      </c>
      <c r="D71" s="17"/>
      <c r="E71" s="17" t="s">
        <v>238</v>
      </c>
      <c r="F71" s="17"/>
      <c r="G71" s="17"/>
      <c r="H71" s="17" t="s">
        <v>235</v>
      </c>
      <c r="I71" s="17" t="s">
        <v>828</v>
      </c>
      <c r="J71" s="17" t="s">
        <v>939</v>
      </c>
      <c r="K71" s="18">
        <v>11.04</v>
      </c>
      <c r="L71" s="17" t="s">
        <v>74</v>
      </c>
      <c r="M71" s="19">
        <v>45993</v>
      </c>
      <c r="N71" s="19">
        <v>47054</v>
      </c>
      <c r="O71" s="17" t="s">
        <v>830</v>
      </c>
    </row>
    <row r="72" spans="1:15" x14ac:dyDescent="0.25">
      <c r="A72" s="17" t="s">
        <v>237</v>
      </c>
      <c r="B72" s="17" t="s">
        <v>69</v>
      </c>
      <c r="C72" s="17" t="s">
        <v>70</v>
      </c>
      <c r="D72" s="17"/>
      <c r="E72" s="17" t="s">
        <v>940</v>
      </c>
      <c r="F72" s="17"/>
      <c r="G72" s="17"/>
      <c r="H72" s="17" t="s">
        <v>235</v>
      </c>
      <c r="I72" s="17" t="s">
        <v>828</v>
      </c>
      <c r="J72" s="17" t="s">
        <v>939</v>
      </c>
      <c r="K72" s="18">
        <v>0.9</v>
      </c>
      <c r="L72" s="17" t="s">
        <v>74</v>
      </c>
      <c r="M72" s="19">
        <v>45923</v>
      </c>
      <c r="N72" s="19">
        <v>46997</v>
      </c>
      <c r="O72" s="17" t="s">
        <v>830</v>
      </c>
    </row>
    <row r="73" spans="1:15" x14ac:dyDescent="0.25">
      <c r="A73" s="17" t="s">
        <v>251</v>
      </c>
      <c r="B73" s="17" t="s">
        <v>69</v>
      </c>
      <c r="C73" s="17" t="s">
        <v>70</v>
      </c>
      <c r="D73" s="17"/>
      <c r="E73" s="17" t="s">
        <v>252</v>
      </c>
      <c r="F73" s="17"/>
      <c r="G73" s="17"/>
      <c r="H73" s="17" t="s">
        <v>250</v>
      </c>
      <c r="I73" s="17" t="s">
        <v>828</v>
      </c>
      <c r="J73" s="17" t="s">
        <v>941</v>
      </c>
      <c r="K73" s="18">
        <v>5.58</v>
      </c>
      <c r="L73" s="17" t="s">
        <v>74</v>
      </c>
      <c r="M73" s="19">
        <v>45985</v>
      </c>
      <c r="N73" s="19">
        <v>47053</v>
      </c>
      <c r="O73" s="17" t="s">
        <v>830</v>
      </c>
    </row>
    <row r="74" spans="1:15" x14ac:dyDescent="0.25">
      <c r="A74" s="17" t="s">
        <v>233</v>
      </c>
      <c r="B74" s="17" t="s">
        <v>69</v>
      </c>
      <c r="C74" s="17" t="s">
        <v>70</v>
      </c>
      <c r="D74" s="17"/>
      <c r="E74" s="17" t="s">
        <v>234</v>
      </c>
      <c r="F74" s="17"/>
      <c r="G74" s="17"/>
      <c r="H74" s="17" t="s">
        <v>235</v>
      </c>
      <c r="I74" s="17" t="s">
        <v>828</v>
      </c>
      <c r="J74" s="17" t="s">
        <v>942</v>
      </c>
      <c r="K74" s="18">
        <v>2.5</v>
      </c>
      <c r="L74" s="17" t="s">
        <v>74</v>
      </c>
      <c r="M74" s="19">
        <v>45979</v>
      </c>
      <c r="N74" s="19">
        <v>47054</v>
      </c>
      <c r="O74" s="17" t="s">
        <v>830</v>
      </c>
    </row>
    <row r="75" spans="1:15" x14ac:dyDescent="0.25">
      <c r="A75" s="17" t="s">
        <v>253</v>
      </c>
      <c r="B75" s="17" t="s">
        <v>69</v>
      </c>
      <c r="C75" s="17" t="s">
        <v>70</v>
      </c>
      <c r="D75" s="17"/>
      <c r="E75" s="17" t="s">
        <v>254</v>
      </c>
      <c r="F75" s="17"/>
      <c r="G75" s="17"/>
      <c r="H75" s="17" t="s">
        <v>255</v>
      </c>
      <c r="I75" s="17" t="s">
        <v>828</v>
      </c>
      <c r="J75" s="17" t="s">
        <v>943</v>
      </c>
      <c r="K75" s="18">
        <v>36</v>
      </c>
      <c r="L75" s="17" t="s">
        <v>74</v>
      </c>
      <c r="M75" s="19">
        <v>46009</v>
      </c>
      <c r="N75" s="19">
        <v>47087</v>
      </c>
      <c r="O75" s="17" t="s">
        <v>830</v>
      </c>
    </row>
    <row r="76" spans="1:15" x14ac:dyDescent="0.25">
      <c r="A76" s="17" t="s">
        <v>205</v>
      </c>
      <c r="B76" s="17" t="s">
        <v>69</v>
      </c>
      <c r="C76" s="17" t="s">
        <v>70</v>
      </c>
      <c r="D76" s="17"/>
      <c r="E76" s="17" t="s">
        <v>206</v>
      </c>
      <c r="F76" s="17"/>
      <c r="G76" s="17"/>
      <c r="H76" s="17" t="s">
        <v>207</v>
      </c>
      <c r="I76" s="17" t="s">
        <v>828</v>
      </c>
      <c r="J76" s="17" t="s">
        <v>944</v>
      </c>
      <c r="K76" s="18">
        <v>10.5</v>
      </c>
      <c r="L76" s="17" t="s">
        <v>74</v>
      </c>
      <c r="M76" s="19">
        <v>46009</v>
      </c>
      <c r="N76" s="19">
        <v>47087</v>
      </c>
      <c r="O76" s="17" t="s">
        <v>830</v>
      </c>
    </row>
    <row r="77" spans="1:15" x14ac:dyDescent="0.25">
      <c r="A77" s="17" t="s">
        <v>240</v>
      </c>
      <c r="B77" s="17" t="s">
        <v>69</v>
      </c>
      <c r="C77" s="17" t="s">
        <v>70</v>
      </c>
      <c r="D77" s="17"/>
      <c r="E77" s="17" t="s">
        <v>945</v>
      </c>
      <c r="F77" s="17"/>
      <c r="G77" s="17"/>
      <c r="H77" s="17" t="s">
        <v>242</v>
      </c>
      <c r="I77" s="17" t="s">
        <v>828</v>
      </c>
      <c r="J77" s="17" t="s">
        <v>946</v>
      </c>
      <c r="K77" s="18">
        <v>8.5</v>
      </c>
      <c r="L77" s="17" t="s">
        <v>74</v>
      </c>
      <c r="M77" s="19">
        <v>45917</v>
      </c>
      <c r="N77" s="19">
        <v>46974</v>
      </c>
      <c r="O77" s="17" t="s">
        <v>830</v>
      </c>
    </row>
    <row r="78" spans="1:15" x14ac:dyDescent="0.25">
      <c r="A78" s="17" t="s">
        <v>248</v>
      </c>
      <c r="B78" s="17" t="s">
        <v>69</v>
      </c>
      <c r="C78" s="17" t="s">
        <v>70</v>
      </c>
      <c r="D78" s="17"/>
      <c r="E78" s="17" t="s">
        <v>1172</v>
      </c>
      <c r="F78" s="17"/>
      <c r="G78" s="17"/>
      <c r="H78" s="17" t="s">
        <v>250</v>
      </c>
      <c r="I78" s="17" t="s">
        <v>828</v>
      </c>
      <c r="J78" s="17" t="s">
        <v>947</v>
      </c>
      <c r="K78" s="18">
        <v>11.5</v>
      </c>
      <c r="L78" s="17" t="s">
        <v>74</v>
      </c>
      <c r="M78" s="19">
        <v>45964</v>
      </c>
      <c r="N78" s="19">
        <v>47032</v>
      </c>
      <c r="O78" s="17" t="s">
        <v>830</v>
      </c>
    </row>
    <row r="79" spans="1:15" x14ac:dyDescent="0.25">
      <c r="A79" s="17" t="s">
        <v>248</v>
      </c>
      <c r="B79" s="17" t="s">
        <v>69</v>
      </c>
      <c r="C79" s="17" t="s">
        <v>70</v>
      </c>
      <c r="D79" s="17"/>
      <c r="E79" s="17" t="s">
        <v>249</v>
      </c>
      <c r="F79" s="17"/>
      <c r="G79" s="17"/>
      <c r="H79" s="17" t="s">
        <v>250</v>
      </c>
      <c r="I79" s="17" t="s">
        <v>828</v>
      </c>
      <c r="J79" s="17" t="s">
        <v>947</v>
      </c>
      <c r="K79" s="18">
        <v>72.5</v>
      </c>
      <c r="L79" s="17" t="s">
        <v>74</v>
      </c>
      <c r="M79" s="19">
        <v>46029</v>
      </c>
      <c r="N79" s="19">
        <v>47101</v>
      </c>
      <c r="O79" s="17" t="s">
        <v>830</v>
      </c>
    </row>
    <row r="80" spans="1:15" x14ac:dyDescent="0.25">
      <c r="A80" s="17" t="s">
        <v>222</v>
      </c>
      <c r="B80" s="17" t="s">
        <v>69</v>
      </c>
      <c r="C80" s="17" t="s">
        <v>70</v>
      </c>
      <c r="D80" s="17"/>
      <c r="E80" s="17" t="s">
        <v>223</v>
      </c>
      <c r="F80" s="17"/>
      <c r="G80" s="17"/>
      <c r="H80" s="17" t="s">
        <v>224</v>
      </c>
      <c r="I80" s="17" t="s">
        <v>828</v>
      </c>
      <c r="J80" s="17" t="s">
        <v>948</v>
      </c>
      <c r="K80" s="18">
        <v>3</v>
      </c>
      <c r="L80" s="17" t="s">
        <v>74</v>
      </c>
      <c r="M80" s="19">
        <v>45856</v>
      </c>
      <c r="N80" s="19">
        <v>46926</v>
      </c>
      <c r="O80" s="17" t="s">
        <v>830</v>
      </c>
    </row>
    <row r="81" spans="1:15" x14ac:dyDescent="0.25">
      <c r="A81" s="17" t="s">
        <v>215</v>
      </c>
      <c r="B81" s="17" t="s">
        <v>69</v>
      </c>
      <c r="C81" s="17" t="s">
        <v>70</v>
      </c>
      <c r="D81" s="17"/>
      <c r="E81" s="17" t="s">
        <v>949</v>
      </c>
      <c r="F81" s="17"/>
      <c r="G81" s="17"/>
      <c r="H81" s="17" t="s">
        <v>217</v>
      </c>
      <c r="I81" s="17" t="s">
        <v>828</v>
      </c>
      <c r="J81" s="17" t="s">
        <v>950</v>
      </c>
      <c r="K81" s="18">
        <v>24</v>
      </c>
      <c r="L81" s="17" t="s">
        <v>74</v>
      </c>
      <c r="M81" s="19">
        <v>45929</v>
      </c>
      <c r="N81" s="19">
        <v>47004</v>
      </c>
      <c r="O81" s="17" t="s">
        <v>830</v>
      </c>
    </row>
    <row r="82" spans="1:15" x14ac:dyDescent="0.25">
      <c r="A82" s="17" t="s">
        <v>227</v>
      </c>
      <c r="B82" s="17" t="s">
        <v>69</v>
      </c>
      <c r="C82" s="17" t="s">
        <v>70</v>
      </c>
      <c r="D82" s="17"/>
      <c r="E82" s="17" t="s">
        <v>228</v>
      </c>
      <c r="F82" s="17"/>
      <c r="G82" s="17"/>
      <c r="H82" s="17" t="s">
        <v>229</v>
      </c>
      <c r="I82" s="17" t="s">
        <v>828</v>
      </c>
      <c r="J82" s="17" t="s">
        <v>951</v>
      </c>
      <c r="K82" s="18">
        <v>18</v>
      </c>
      <c r="L82" s="17" t="s">
        <v>74</v>
      </c>
      <c r="M82" s="19">
        <v>45941</v>
      </c>
      <c r="N82" s="19">
        <v>47012</v>
      </c>
      <c r="O82" s="17" t="s">
        <v>830</v>
      </c>
    </row>
    <row r="83" spans="1:15" x14ac:dyDescent="0.25">
      <c r="A83" s="17" t="s">
        <v>297</v>
      </c>
      <c r="B83" s="17" t="s">
        <v>69</v>
      </c>
      <c r="C83" s="17" t="s">
        <v>70</v>
      </c>
      <c r="D83" s="17"/>
      <c r="E83" s="17" t="s">
        <v>301</v>
      </c>
      <c r="F83" s="17"/>
      <c r="G83" s="17"/>
      <c r="H83" s="17" t="s">
        <v>299</v>
      </c>
      <c r="I83" s="17" t="s">
        <v>828</v>
      </c>
      <c r="J83" s="17" t="s">
        <v>952</v>
      </c>
      <c r="K83" s="18">
        <v>43.65</v>
      </c>
      <c r="L83" s="17" t="s">
        <v>74</v>
      </c>
      <c r="M83" s="19">
        <v>46000</v>
      </c>
      <c r="N83" s="19">
        <v>46712</v>
      </c>
      <c r="O83" s="17" t="s">
        <v>830</v>
      </c>
    </row>
    <row r="84" spans="1:15" x14ac:dyDescent="0.25">
      <c r="A84" s="17" t="s">
        <v>460</v>
      </c>
      <c r="B84" s="17" t="s">
        <v>69</v>
      </c>
      <c r="C84" s="17" t="s">
        <v>70</v>
      </c>
      <c r="D84" s="17"/>
      <c r="E84" s="17" t="s">
        <v>461</v>
      </c>
      <c r="F84" s="17"/>
      <c r="G84" s="17"/>
      <c r="H84" s="17" t="s">
        <v>462</v>
      </c>
      <c r="I84" s="17" t="s">
        <v>828</v>
      </c>
      <c r="J84" s="17" t="s">
        <v>953</v>
      </c>
      <c r="K84" s="18">
        <v>87.6</v>
      </c>
      <c r="L84" s="17" t="s">
        <v>74</v>
      </c>
      <c r="M84" s="19">
        <v>45985</v>
      </c>
      <c r="N84" s="19">
        <v>46691</v>
      </c>
      <c r="O84" s="17" t="s">
        <v>830</v>
      </c>
    </row>
    <row r="85" spans="1:15" x14ac:dyDescent="0.25">
      <c r="A85" s="17" t="s">
        <v>355</v>
      </c>
      <c r="B85" s="17" t="s">
        <v>69</v>
      </c>
      <c r="C85" s="17" t="s">
        <v>70</v>
      </c>
      <c r="D85" s="17"/>
      <c r="E85" s="17" t="s">
        <v>356</v>
      </c>
      <c r="F85" s="17"/>
      <c r="G85" s="17"/>
      <c r="H85" s="17" t="s">
        <v>357</v>
      </c>
      <c r="I85" s="17" t="s">
        <v>828</v>
      </c>
      <c r="J85" s="17" t="s">
        <v>954</v>
      </c>
      <c r="K85" s="18">
        <v>27.9</v>
      </c>
      <c r="L85" s="17" t="s">
        <v>74</v>
      </c>
      <c r="M85" s="19">
        <v>45988</v>
      </c>
      <c r="N85" s="19">
        <v>46691</v>
      </c>
      <c r="O85" s="17" t="s">
        <v>830</v>
      </c>
    </row>
    <row r="86" spans="1:15" x14ac:dyDescent="0.25">
      <c r="A86" s="17" t="s">
        <v>31</v>
      </c>
      <c r="B86" s="17" t="s">
        <v>69</v>
      </c>
      <c r="C86" s="17" t="s">
        <v>70</v>
      </c>
      <c r="D86" s="17"/>
      <c r="E86" s="17" t="s">
        <v>51</v>
      </c>
      <c r="F86" s="17"/>
      <c r="G86" s="17"/>
      <c r="H86" s="17" t="s">
        <v>32</v>
      </c>
      <c r="I86" s="17" t="s">
        <v>828</v>
      </c>
      <c r="J86" s="17" t="s">
        <v>30</v>
      </c>
      <c r="K86" s="18">
        <v>40.65</v>
      </c>
      <c r="L86" s="17" t="s">
        <v>74</v>
      </c>
      <c r="M86" s="19">
        <v>46030</v>
      </c>
      <c r="N86" s="19">
        <v>46715</v>
      </c>
      <c r="O86" s="17" t="s">
        <v>830</v>
      </c>
    </row>
    <row r="87" spans="1:15" x14ac:dyDescent="0.25">
      <c r="A87" s="17" t="s">
        <v>34</v>
      </c>
      <c r="B87" s="17" t="s">
        <v>69</v>
      </c>
      <c r="C87" s="17" t="s">
        <v>70</v>
      </c>
      <c r="D87" s="17"/>
      <c r="E87" s="17" t="s">
        <v>663</v>
      </c>
      <c r="F87" s="17"/>
      <c r="G87" s="17"/>
      <c r="H87" s="17" t="s">
        <v>35</v>
      </c>
      <c r="I87" s="17" t="s">
        <v>828</v>
      </c>
      <c r="J87" s="17" t="s">
        <v>33</v>
      </c>
      <c r="K87" s="18">
        <v>42.45</v>
      </c>
      <c r="L87" s="17" t="s">
        <v>74</v>
      </c>
      <c r="M87" s="19">
        <v>46006</v>
      </c>
      <c r="N87" s="19">
        <v>46712</v>
      </c>
      <c r="O87" s="17" t="s">
        <v>830</v>
      </c>
    </row>
    <row r="88" spans="1:15" x14ac:dyDescent="0.25">
      <c r="A88" s="17" t="s">
        <v>36</v>
      </c>
      <c r="B88" s="17" t="s">
        <v>69</v>
      </c>
      <c r="C88" s="17" t="s">
        <v>70</v>
      </c>
      <c r="D88" s="17"/>
      <c r="E88" s="17" t="s">
        <v>436</v>
      </c>
      <c r="F88" s="17"/>
      <c r="G88" s="17"/>
      <c r="H88" s="17" t="s">
        <v>38</v>
      </c>
      <c r="I88" s="17" t="s">
        <v>828</v>
      </c>
      <c r="J88" s="17" t="s">
        <v>37</v>
      </c>
      <c r="K88" s="18">
        <v>105.75</v>
      </c>
      <c r="L88" s="17" t="s">
        <v>74</v>
      </c>
      <c r="M88" s="19">
        <v>45987</v>
      </c>
      <c r="N88" s="19">
        <v>46699</v>
      </c>
      <c r="O88" s="17" t="s">
        <v>830</v>
      </c>
    </row>
    <row r="89" spans="1:15" x14ac:dyDescent="0.25">
      <c r="A89" s="17" t="s">
        <v>451</v>
      </c>
      <c r="B89" s="17" t="s">
        <v>69</v>
      </c>
      <c r="C89" s="17" t="s">
        <v>70</v>
      </c>
      <c r="D89" s="17"/>
      <c r="E89" s="17" t="s">
        <v>452</v>
      </c>
      <c r="F89" s="17"/>
      <c r="G89" s="17"/>
      <c r="H89" s="17" t="s">
        <v>453</v>
      </c>
      <c r="I89" s="17" t="s">
        <v>828</v>
      </c>
      <c r="J89" s="17" t="s">
        <v>955</v>
      </c>
      <c r="K89" s="18">
        <v>96.9</v>
      </c>
      <c r="L89" s="17" t="s">
        <v>74</v>
      </c>
      <c r="M89" s="19">
        <v>45994</v>
      </c>
      <c r="N89" s="19">
        <v>46707</v>
      </c>
      <c r="O89" s="17" t="s">
        <v>830</v>
      </c>
    </row>
    <row r="90" spans="1:15" x14ac:dyDescent="0.25">
      <c r="A90" s="17" t="s">
        <v>956</v>
      </c>
      <c r="B90" s="17" t="s">
        <v>69</v>
      </c>
      <c r="C90" s="17" t="s">
        <v>70</v>
      </c>
      <c r="D90" s="17"/>
      <c r="E90" s="17" t="s">
        <v>957</v>
      </c>
      <c r="F90" s="17"/>
      <c r="G90" s="17"/>
      <c r="H90" s="17" t="s">
        <v>958</v>
      </c>
      <c r="I90" s="17" t="s">
        <v>828</v>
      </c>
      <c r="J90" s="17" t="s">
        <v>959</v>
      </c>
      <c r="K90" s="18">
        <v>0.15</v>
      </c>
      <c r="L90" s="17" t="s">
        <v>74</v>
      </c>
      <c r="M90" s="19"/>
      <c r="N90" s="19">
        <v>46288</v>
      </c>
      <c r="O90" s="17" t="s">
        <v>830</v>
      </c>
    </row>
    <row r="91" spans="1:15" x14ac:dyDescent="0.25">
      <c r="A91" s="17" t="s">
        <v>678</v>
      </c>
      <c r="B91" s="17" t="s">
        <v>69</v>
      </c>
      <c r="C91" s="17" t="s">
        <v>70</v>
      </c>
      <c r="D91" s="17"/>
      <c r="E91" s="17" t="s">
        <v>679</v>
      </c>
      <c r="F91" s="17"/>
      <c r="G91" s="17"/>
      <c r="H91" s="17" t="s">
        <v>680</v>
      </c>
      <c r="I91" s="17" t="s">
        <v>828</v>
      </c>
      <c r="J91" s="17" t="s">
        <v>959</v>
      </c>
      <c r="K91" s="18">
        <v>67.650000000000006</v>
      </c>
      <c r="L91" s="17" t="s">
        <v>74</v>
      </c>
      <c r="M91" s="19">
        <v>45983</v>
      </c>
      <c r="N91" s="19">
        <v>46694</v>
      </c>
      <c r="O91" s="17" t="s">
        <v>830</v>
      </c>
    </row>
    <row r="92" spans="1:15" x14ac:dyDescent="0.25">
      <c r="A92" s="17" t="s">
        <v>671</v>
      </c>
      <c r="B92" s="17" t="s">
        <v>69</v>
      </c>
      <c r="C92" s="17" t="s">
        <v>70</v>
      </c>
      <c r="D92" s="17"/>
      <c r="E92" s="17" t="s">
        <v>674</v>
      </c>
      <c r="F92" s="17"/>
      <c r="G92" s="17"/>
      <c r="H92" s="17" t="s">
        <v>673</v>
      </c>
      <c r="I92" s="17" t="s">
        <v>828</v>
      </c>
      <c r="J92" s="17" t="s">
        <v>960</v>
      </c>
      <c r="K92" s="18">
        <v>68.25</v>
      </c>
      <c r="L92" s="17" t="s">
        <v>74</v>
      </c>
      <c r="M92" s="19">
        <v>46010</v>
      </c>
      <c r="N92" s="19">
        <v>46712</v>
      </c>
      <c r="O92" s="17" t="s">
        <v>830</v>
      </c>
    </row>
    <row r="93" spans="1:15" x14ac:dyDescent="0.25">
      <c r="A93" s="17" t="s">
        <v>168</v>
      </c>
      <c r="B93" s="17" t="s">
        <v>69</v>
      </c>
      <c r="C93" s="17" t="s">
        <v>70</v>
      </c>
      <c r="D93" s="17"/>
      <c r="E93" s="17" t="s">
        <v>171</v>
      </c>
      <c r="F93" s="17"/>
      <c r="G93" s="17"/>
      <c r="H93" s="17" t="s">
        <v>169</v>
      </c>
      <c r="I93" s="17" t="s">
        <v>828</v>
      </c>
      <c r="J93" s="17" t="s">
        <v>961</v>
      </c>
      <c r="K93" s="18">
        <v>42</v>
      </c>
      <c r="L93" s="17" t="s">
        <v>74</v>
      </c>
      <c r="M93" s="19">
        <v>45964</v>
      </c>
      <c r="N93" s="19">
        <v>46291</v>
      </c>
      <c r="O93" s="17" t="s">
        <v>830</v>
      </c>
    </row>
    <row r="94" spans="1:15" x14ac:dyDescent="0.25">
      <c r="A94" s="17" t="s">
        <v>115</v>
      </c>
      <c r="B94" s="17" t="s">
        <v>69</v>
      </c>
      <c r="C94" s="17" t="s">
        <v>70</v>
      </c>
      <c r="D94" s="17"/>
      <c r="E94" s="17" t="s">
        <v>118</v>
      </c>
      <c r="F94" s="17"/>
      <c r="G94" s="17"/>
      <c r="H94" s="17" t="s">
        <v>117</v>
      </c>
      <c r="I94" s="17" t="s">
        <v>828</v>
      </c>
      <c r="J94" s="17" t="s">
        <v>962</v>
      </c>
      <c r="K94" s="18">
        <v>16.8</v>
      </c>
      <c r="L94" s="17" t="s">
        <v>74</v>
      </c>
      <c r="M94" s="19">
        <v>46009</v>
      </c>
      <c r="N94" s="19">
        <v>47080</v>
      </c>
      <c r="O94" s="17" t="s">
        <v>830</v>
      </c>
    </row>
    <row r="95" spans="1:15" x14ac:dyDescent="0.25">
      <c r="A95" s="17" t="s">
        <v>82</v>
      </c>
      <c r="B95" s="17" t="s">
        <v>69</v>
      </c>
      <c r="C95" s="17" t="s">
        <v>70</v>
      </c>
      <c r="D95" s="17"/>
      <c r="E95" s="17" t="s">
        <v>83</v>
      </c>
      <c r="F95" s="17"/>
      <c r="G95" s="17"/>
      <c r="H95" s="17" t="s">
        <v>84</v>
      </c>
      <c r="I95" s="17" t="s">
        <v>828</v>
      </c>
      <c r="J95" s="17" t="s">
        <v>963</v>
      </c>
      <c r="K95" s="18">
        <v>44.52</v>
      </c>
      <c r="L95" s="17" t="s">
        <v>74</v>
      </c>
      <c r="M95" s="19">
        <v>46008</v>
      </c>
      <c r="N95" s="19">
        <v>47083</v>
      </c>
      <c r="O95" s="17" t="s">
        <v>830</v>
      </c>
    </row>
    <row r="96" spans="1:15" x14ac:dyDescent="0.25">
      <c r="A96" s="17" t="s">
        <v>91</v>
      </c>
      <c r="B96" s="17" t="s">
        <v>69</v>
      </c>
      <c r="C96" s="17" t="s">
        <v>70</v>
      </c>
      <c r="D96" s="17"/>
      <c r="E96" s="17" t="s">
        <v>964</v>
      </c>
      <c r="F96" s="17"/>
      <c r="G96" s="17"/>
      <c r="H96" s="17" t="s">
        <v>93</v>
      </c>
      <c r="I96" s="17" t="s">
        <v>828</v>
      </c>
      <c r="J96" s="17" t="s">
        <v>965</v>
      </c>
      <c r="K96" s="18">
        <v>10.44</v>
      </c>
      <c r="L96" s="17" t="s">
        <v>74</v>
      </c>
      <c r="M96" s="19">
        <v>46001</v>
      </c>
      <c r="N96" s="19">
        <v>47075</v>
      </c>
      <c r="O96" s="17" t="s">
        <v>830</v>
      </c>
    </row>
    <row r="97" spans="1:15" x14ac:dyDescent="0.25">
      <c r="A97" s="17" t="s">
        <v>112</v>
      </c>
      <c r="B97" s="17" t="s">
        <v>69</v>
      </c>
      <c r="C97" s="17" t="s">
        <v>70</v>
      </c>
      <c r="D97" s="17"/>
      <c r="E97" s="17" t="s">
        <v>113</v>
      </c>
      <c r="F97" s="17"/>
      <c r="G97" s="17"/>
      <c r="H97" s="17" t="s">
        <v>114</v>
      </c>
      <c r="I97" s="17" t="s">
        <v>828</v>
      </c>
      <c r="J97" s="17" t="s">
        <v>967</v>
      </c>
      <c r="K97" s="18">
        <v>22.68</v>
      </c>
      <c r="L97" s="17" t="s">
        <v>74</v>
      </c>
      <c r="M97" s="19">
        <v>46010</v>
      </c>
      <c r="N97" s="19">
        <v>47083</v>
      </c>
      <c r="O97" s="17" t="s">
        <v>830</v>
      </c>
    </row>
    <row r="98" spans="1:15" x14ac:dyDescent="0.25">
      <c r="A98" s="17" t="s">
        <v>68</v>
      </c>
      <c r="B98" s="17" t="s">
        <v>69</v>
      </c>
      <c r="C98" s="17" t="s">
        <v>70</v>
      </c>
      <c r="D98" s="17"/>
      <c r="E98" s="17" t="s">
        <v>968</v>
      </c>
      <c r="F98" s="17"/>
      <c r="G98" s="17"/>
      <c r="H98" s="17" t="s">
        <v>72</v>
      </c>
      <c r="I98" s="17" t="s">
        <v>828</v>
      </c>
      <c r="J98" s="17" t="s">
        <v>969</v>
      </c>
      <c r="K98" s="18">
        <v>0.24</v>
      </c>
      <c r="L98" s="17" t="s">
        <v>74</v>
      </c>
      <c r="M98" s="19">
        <v>46001</v>
      </c>
      <c r="N98" s="19">
        <v>47075</v>
      </c>
      <c r="O98" s="17" t="s">
        <v>830</v>
      </c>
    </row>
    <row r="99" spans="1:15" x14ac:dyDescent="0.25">
      <c r="A99" s="17" t="s">
        <v>68</v>
      </c>
      <c r="B99" s="17" t="s">
        <v>69</v>
      </c>
      <c r="C99" s="17" t="s">
        <v>70</v>
      </c>
      <c r="D99" s="17"/>
      <c r="E99" s="17" t="s">
        <v>71</v>
      </c>
      <c r="F99" s="17"/>
      <c r="G99" s="17"/>
      <c r="H99" s="17" t="s">
        <v>72</v>
      </c>
      <c r="I99" s="17" t="s">
        <v>828</v>
      </c>
      <c r="J99" s="17" t="s">
        <v>969</v>
      </c>
      <c r="K99" s="18">
        <v>63.48</v>
      </c>
      <c r="L99" s="17" t="s">
        <v>74</v>
      </c>
      <c r="M99" s="19">
        <v>46017</v>
      </c>
      <c r="N99" s="19">
        <v>47083</v>
      </c>
      <c r="O99" s="17" t="s">
        <v>830</v>
      </c>
    </row>
    <row r="100" spans="1:15" x14ac:dyDescent="0.25">
      <c r="A100" s="17" t="s">
        <v>122</v>
      </c>
      <c r="B100" s="17" t="s">
        <v>69</v>
      </c>
      <c r="C100" s="17" t="s">
        <v>70</v>
      </c>
      <c r="D100" s="17"/>
      <c r="E100" s="17" t="s">
        <v>124</v>
      </c>
      <c r="F100" s="17"/>
      <c r="G100" s="17"/>
      <c r="H100" s="17" t="s">
        <v>123</v>
      </c>
      <c r="I100" s="17" t="s">
        <v>828</v>
      </c>
      <c r="J100" s="17" t="s">
        <v>970</v>
      </c>
      <c r="K100" s="18">
        <v>13.92</v>
      </c>
      <c r="L100" s="17" t="s">
        <v>74</v>
      </c>
      <c r="M100" s="19">
        <v>46006</v>
      </c>
      <c r="N100" s="19">
        <v>47075</v>
      </c>
      <c r="O100" s="17" t="s">
        <v>830</v>
      </c>
    </row>
    <row r="101" spans="1:15" x14ac:dyDescent="0.25">
      <c r="A101" s="17" t="s">
        <v>75</v>
      </c>
      <c r="B101" s="17" t="s">
        <v>69</v>
      </c>
      <c r="C101" s="17" t="s">
        <v>70</v>
      </c>
      <c r="D101" s="17"/>
      <c r="E101" s="17" t="s">
        <v>79</v>
      </c>
      <c r="F101" s="17"/>
      <c r="G101" s="17"/>
      <c r="H101" s="17" t="s">
        <v>77</v>
      </c>
      <c r="I101" s="17" t="s">
        <v>828</v>
      </c>
      <c r="J101" s="17" t="s">
        <v>971</v>
      </c>
      <c r="K101" s="18">
        <v>52.08</v>
      </c>
      <c r="L101" s="17" t="s">
        <v>74</v>
      </c>
      <c r="M101" s="19">
        <v>46008</v>
      </c>
      <c r="N101" s="19">
        <v>47083</v>
      </c>
      <c r="O101" s="17" t="s">
        <v>830</v>
      </c>
    </row>
    <row r="102" spans="1:15" x14ac:dyDescent="0.25">
      <c r="A102" s="17" t="s">
        <v>75</v>
      </c>
      <c r="B102" s="17" t="s">
        <v>69</v>
      </c>
      <c r="C102" s="17" t="s">
        <v>70</v>
      </c>
      <c r="D102" s="17"/>
      <c r="E102" s="17" t="s">
        <v>80</v>
      </c>
      <c r="F102" s="17"/>
      <c r="G102" s="17"/>
      <c r="H102" s="17" t="s">
        <v>77</v>
      </c>
      <c r="I102" s="17" t="s">
        <v>828</v>
      </c>
      <c r="J102" s="17" t="s">
        <v>971</v>
      </c>
      <c r="K102" s="18">
        <v>24.48</v>
      </c>
      <c r="L102" s="17" t="s">
        <v>74</v>
      </c>
      <c r="M102" s="19">
        <v>46049</v>
      </c>
      <c r="N102" s="19">
        <v>47118</v>
      </c>
      <c r="O102" s="17" t="s">
        <v>830</v>
      </c>
    </row>
    <row r="103" spans="1:15" x14ac:dyDescent="0.25">
      <c r="A103" s="17" t="s">
        <v>107</v>
      </c>
      <c r="B103" s="17" t="s">
        <v>69</v>
      </c>
      <c r="C103" s="17" t="s">
        <v>70</v>
      </c>
      <c r="D103" s="17"/>
      <c r="E103" s="17" t="s">
        <v>108</v>
      </c>
      <c r="F103" s="17"/>
      <c r="G103" s="17"/>
      <c r="H103" s="17" t="s">
        <v>109</v>
      </c>
      <c r="I103" s="17" t="s">
        <v>828</v>
      </c>
      <c r="J103" s="17" t="s">
        <v>973</v>
      </c>
      <c r="K103" s="18">
        <v>43.32</v>
      </c>
      <c r="L103" s="17" t="s">
        <v>74</v>
      </c>
      <c r="M103" s="19">
        <v>46009</v>
      </c>
      <c r="N103" s="19">
        <v>47083</v>
      </c>
      <c r="O103" s="17" t="s">
        <v>830</v>
      </c>
    </row>
    <row r="104" spans="1:15" x14ac:dyDescent="0.25">
      <c r="A104" s="17" t="s">
        <v>86</v>
      </c>
      <c r="B104" s="17" t="s">
        <v>69</v>
      </c>
      <c r="C104" s="17" t="s">
        <v>70</v>
      </c>
      <c r="D104" s="17"/>
      <c r="E104" s="17" t="s">
        <v>89</v>
      </c>
      <c r="F104" s="17"/>
      <c r="G104" s="17"/>
      <c r="H104" s="17" t="s">
        <v>87</v>
      </c>
      <c r="I104" s="17" t="s">
        <v>828</v>
      </c>
      <c r="J104" s="17" t="s">
        <v>974</v>
      </c>
      <c r="K104" s="18">
        <v>25.56</v>
      </c>
      <c r="L104" s="17" t="s">
        <v>74</v>
      </c>
      <c r="M104" s="19">
        <v>46037</v>
      </c>
      <c r="N104" s="19">
        <v>47100</v>
      </c>
      <c r="O104" s="17" t="s">
        <v>830</v>
      </c>
    </row>
    <row r="105" spans="1:15" x14ac:dyDescent="0.25">
      <c r="A105" s="17" t="s">
        <v>98</v>
      </c>
      <c r="B105" s="17" t="s">
        <v>69</v>
      </c>
      <c r="C105" s="17" t="s">
        <v>70</v>
      </c>
      <c r="D105" s="17"/>
      <c r="E105" s="17" t="s">
        <v>99</v>
      </c>
      <c r="F105" s="17"/>
      <c r="G105" s="17"/>
      <c r="H105" s="17" t="s">
        <v>100</v>
      </c>
      <c r="I105" s="17" t="s">
        <v>828</v>
      </c>
      <c r="J105" s="17" t="s">
        <v>975</v>
      </c>
      <c r="K105" s="18">
        <v>37.44</v>
      </c>
      <c r="L105" s="17" t="s">
        <v>74</v>
      </c>
      <c r="M105" s="19">
        <v>46010</v>
      </c>
      <c r="N105" s="19">
        <v>47083</v>
      </c>
      <c r="O105" s="17" t="s">
        <v>830</v>
      </c>
    </row>
    <row r="106" spans="1:15" x14ac:dyDescent="0.25">
      <c r="A106" s="17" t="s">
        <v>976</v>
      </c>
      <c r="B106" s="17" t="s">
        <v>69</v>
      </c>
      <c r="C106" s="17" t="s">
        <v>70</v>
      </c>
      <c r="D106" s="17"/>
      <c r="E106" s="17" t="s">
        <v>977</v>
      </c>
      <c r="F106" s="17"/>
      <c r="G106" s="17"/>
      <c r="H106" s="17" t="s">
        <v>978</v>
      </c>
      <c r="I106" s="17" t="s">
        <v>828</v>
      </c>
      <c r="J106" s="17" t="s">
        <v>979</v>
      </c>
      <c r="K106" s="18">
        <v>12.96</v>
      </c>
      <c r="L106" s="17" t="s">
        <v>74</v>
      </c>
      <c r="M106" s="19">
        <v>46011</v>
      </c>
      <c r="N106" s="19">
        <v>47054</v>
      </c>
      <c r="O106" s="17" t="s">
        <v>830</v>
      </c>
    </row>
    <row r="107" spans="1:15" x14ac:dyDescent="0.25">
      <c r="A107" s="17" t="s">
        <v>131</v>
      </c>
      <c r="B107" s="17" t="s">
        <v>69</v>
      </c>
      <c r="C107" s="17" t="s">
        <v>70</v>
      </c>
      <c r="D107" s="17"/>
      <c r="E107" s="17" t="s">
        <v>132</v>
      </c>
      <c r="F107" s="17"/>
      <c r="G107" s="17"/>
      <c r="H107" s="17" t="s">
        <v>133</v>
      </c>
      <c r="I107" s="17" t="s">
        <v>828</v>
      </c>
      <c r="J107" s="17" t="s">
        <v>980</v>
      </c>
      <c r="K107" s="18">
        <v>20.04</v>
      </c>
      <c r="L107" s="17" t="s">
        <v>74</v>
      </c>
      <c r="M107" s="19">
        <v>45979</v>
      </c>
      <c r="N107" s="19">
        <v>47047</v>
      </c>
      <c r="O107" s="17" t="s">
        <v>830</v>
      </c>
    </row>
    <row r="108" spans="1:15" x14ac:dyDescent="0.25">
      <c r="A108" s="17" t="s">
        <v>119</v>
      </c>
      <c r="B108" s="17" t="s">
        <v>69</v>
      </c>
      <c r="C108" s="17" t="s">
        <v>70</v>
      </c>
      <c r="D108" s="17"/>
      <c r="E108" s="17" t="s">
        <v>1211</v>
      </c>
      <c r="F108" s="17"/>
      <c r="G108" s="17"/>
      <c r="H108" s="17" t="s">
        <v>121</v>
      </c>
      <c r="I108" s="17" t="s">
        <v>828</v>
      </c>
      <c r="J108" s="17" t="s">
        <v>981</v>
      </c>
      <c r="K108" s="18">
        <v>46.08</v>
      </c>
      <c r="L108" s="17" t="s">
        <v>74</v>
      </c>
      <c r="M108" s="19">
        <v>46065</v>
      </c>
      <c r="N108" s="19">
        <v>47140</v>
      </c>
      <c r="O108" s="17" t="s">
        <v>830</v>
      </c>
    </row>
    <row r="109" spans="1:15" x14ac:dyDescent="0.25">
      <c r="A109" s="17" t="s">
        <v>127</v>
      </c>
      <c r="B109" s="17" t="s">
        <v>69</v>
      </c>
      <c r="C109" s="17" t="s">
        <v>70</v>
      </c>
      <c r="D109" s="17"/>
      <c r="E109" s="17" t="s">
        <v>130</v>
      </c>
      <c r="F109" s="17"/>
      <c r="G109" s="17"/>
      <c r="H109" s="17" t="s">
        <v>129</v>
      </c>
      <c r="I109" s="17" t="s">
        <v>828</v>
      </c>
      <c r="J109" s="17" t="s">
        <v>982</v>
      </c>
      <c r="K109" s="18">
        <v>2.52</v>
      </c>
      <c r="L109" s="17" t="s">
        <v>74</v>
      </c>
      <c r="M109" s="19">
        <v>45993</v>
      </c>
      <c r="N109" s="19">
        <v>47054</v>
      </c>
      <c r="O109" s="17" t="s">
        <v>830</v>
      </c>
    </row>
    <row r="110" spans="1:15" x14ac:dyDescent="0.25">
      <c r="A110" s="17" t="s">
        <v>127</v>
      </c>
      <c r="B110" s="17" t="s">
        <v>69</v>
      </c>
      <c r="C110" s="17" t="s">
        <v>70</v>
      </c>
      <c r="D110" s="17"/>
      <c r="E110" s="17" t="s">
        <v>128</v>
      </c>
      <c r="F110" s="17"/>
      <c r="G110" s="17"/>
      <c r="H110" s="17" t="s">
        <v>129</v>
      </c>
      <c r="I110" s="17" t="s">
        <v>828</v>
      </c>
      <c r="J110" s="17" t="s">
        <v>982</v>
      </c>
      <c r="K110" s="18">
        <v>43.56</v>
      </c>
      <c r="L110" s="17" t="s">
        <v>74</v>
      </c>
      <c r="M110" s="19">
        <v>46004</v>
      </c>
      <c r="N110" s="19">
        <v>47075</v>
      </c>
      <c r="O110" s="17" t="s">
        <v>830</v>
      </c>
    </row>
    <row r="111" spans="1:15" x14ac:dyDescent="0.25">
      <c r="A111" s="17" t="s">
        <v>94</v>
      </c>
      <c r="B111" s="17" t="s">
        <v>69</v>
      </c>
      <c r="C111" s="17" t="s">
        <v>70</v>
      </c>
      <c r="D111" s="17"/>
      <c r="E111" s="17" t="s">
        <v>95</v>
      </c>
      <c r="F111" s="17"/>
      <c r="G111" s="17"/>
      <c r="H111" s="17" t="s">
        <v>96</v>
      </c>
      <c r="I111" s="17" t="s">
        <v>828</v>
      </c>
      <c r="J111" s="17" t="s">
        <v>983</v>
      </c>
      <c r="K111" s="18">
        <v>28.32</v>
      </c>
      <c r="L111" s="17" t="s">
        <v>74</v>
      </c>
      <c r="M111" s="19">
        <v>46038</v>
      </c>
      <c r="N111" s="19">
        <v>47100</v>
      </c>
      <c r="O111" s="17" t="s">
        <v>830</v>
      </c>
    </row>
    <row r="112" spans="1:15" x14ac:dyDescent="0.25">
      <c r="A112" s="17" t="s">
        <v>984</v>
      </c>
      <c r="B112" s="17" t="s">
        <v>69</v>
      </c>
      <c r="C112" s="17" t="s">
        <v>70</v>
      </c>
      <c r="D112" s="17"/>
      <c r="E112" s="17" t="s">
        <v>985</v>
      </c>
      <c r="F112" s="17"/>
      <c r="G112" s="17"/>
      <c r="H112" s="17" t="s">
        <v>986</v>
      </c>
      <c r="I112" s="17" t="s">
        <v>828</v>
      </c>
      <c r="J112" s="17" t="s">
        <v>987</v>
      </c>
      <c r="K112" s="18">
        <v>44.04</v>
      </c>
      <c r="L112" s="17" t="s">
        <v>74</v>
      </c>
      <c r="M112" s="19">
        <v>46055</v>
      </c>
      <c r="N112" s="19">
        <v>47115</v>
      </c>
      <c r="O112" s="17" t="s">
        <v>830</v>
      </c>
    </row>
    <row r="113" spans="1:15" x14ac:dyDescent="0.25">
      <c r="A113" s="17" t="s">
        <v>104</v>
      </c>
      <c r="B113" s="17" t="s">
        <v>69</v>
      </c>
      <c r="C113" s="17" t="s">
        <v>70</v>
      </c>
      <c r="D113" s="17"/>
      <c r="E113" s="17" t="s">
        <v>988</v>
      </c>
      <c r="F113" s="17"/>
      <c r="G113" s="17"/>
      <c r="H113" s="17" t="s">
        <v>106</v>
      </c>
      <c r="I113" s="17" t="s">
        <v>828</v>
      </c>
      <c r="J113" s="17" t="s">
        <v>989</v>
      </c>
      <c r="K113" s="18">
        <v>16.68</v>
      </c>
      <c r="L113" s="17" t="s">
        <v>74</v>
      </c>
      <c r="M113" s="19">
        <v>45988</v>
      </c>
      <c r="N113" s="19">
        <v>47054</v>
      </c>
      <c r="O113" s="17" t="s">
        <v>830</v>
      </c>
    </row>
    <row r="114" spans="1:15" x14ac:dyDescent="0.25">
      <c r="A114" s="17" t="s">
        <v>990</v>
      </c>
      <c r="B114" s="17" t="s">
        <v>69</v>
      </c>
      <c r="C114" s="17" t="s">
        <v>70</v>
      </c>
      <c r="D114" s="17"/>
      <c r="E114" s="17" t="s">
        <v>991</v>
      </c>
      <c r="F114" s="17"/>
      <c r="G114" s="17"/>
      <c r="H114" s="17" t="s">
        <v>992</v>
      </c>
      <c r="I114" s="17" t="s">
        <v>828</v>
      </c>
      <c r="J114" s="17" t="s">
        <v>993</v>
      </c>
      <c r="K114" s="18">
        <v>22.92</v>
      </c>
      <c r="L114" s="17" t="s">
        <v>74</v>
      </c>
      <c r="M114" s="19">
        <v>45974</v>
      </c>
      <c r="N114" s="19">
        <v>47041</v>
      </c>
      <c r="O114" s="17" t="s">
        <v>830</v>
      </c>
    </row>
    <row r="115" spans="1:15" x14ac:dyDescent="0.25">
      <c r="A115" s="17" t="s">
        <v>994</v>
      </c>
      <c r="B115" s="17" t="s">
        <v>69</v>
      </c>
      <c r="C115" s="17" t="s">
        <v>70</v>
      </c>
      <c r="D115" s="17"/>
      <c r="E115" s="17" t="s">
        <v>995</v>
      </c>
      <c r="F115" s="17"/>
      <c r="G115" s="17"/>
      <c r="H115" s="17" t="s">
        <v>996</v>
      </c>
      <c r="I115" s="17" t="s">
        <v>828</v>
      </c>
      <c r="J115" s="17" t="s">
        <v>997</v>
      </c>
      <c r="K115" s="18">
        <v>15.48</v>
      </c>
      <c r="L115" s="17" t="s">
        <v>74</v>
      </c>
      <c r="M115" s="19">
        <v>46006</v>
      </c>
      <c r="N115" s="19">
        <v>47080</v>
      </c>
      <c r="O115" s="17" t="s">
        <v>830</v>
      </c>
    </row>
    <row r="116" spans="1:15" x14ac:dyDescent="0.25">
      <c r="A116" s="17" t="s">
        <v>998</v>
      </c>
      <c r="B116" s="17" t="s">
        <v>69</v>
      </c>
      <c r="C116" s="17" t="s">
        <v>70</v>
      </c>
      <c r="D116" s="17"/>
      <c r="E116" s="17" t="s">
        <v>999</v>
      </c>
      <c r="F116" s="17"/>
      <c r="G116" s="17"/>
      <c r="H116" s="17" t="s">
        <v>565</v>
      </c>
      <c r="I116" s="17" t="s">
        <v>828</v>
      </c>
      <c r="J116" s="17" t="s">
        <v>1000</v>
      </c>
      <c r="K116" s="18">
        <v>54.36</v>
      </c>
      <c r="L116" s="17" t="s">
        <v>74</v>
      </c>
      <c r="M116" s="19">
        <v>45805</v>
      </c>
      <c r="N116" s="19">
        <v>46513</v>
      </c>
      <c r="O116" s="17" t="s">
        <v>830</v>
      </c>
    </row>
    <row r="117" spans="1:15" x14ac:dyDescent="0.25">
      <c r="A117" s="17" t="s">
        <v>473</v>
      </c>
      <c r="B117" s="17" t="s">
        <v>69</v>
      </c>
      <c r="C117" s="17" t="s">
        <v>70</v>
      </c>
      <c r="D117" s="17"/>
      <c r="E117" s="17" t="s">
        <v>474</v>
      </c>
      <c r="F117" s="17"/>
      <c r="G117" s="17"/>
      <c r="H117" s="17" t="s">
        <v>470</v>
      </c>
      <c r="I117" s="17" t="s">
        <v>828</v>
      </c>
      <c r="J117" s="17" t="s">
        <v>1001</v>
      </c>
      <c r="K117" s="18">
        <v>92.16</v>
      </c>
      <c r="L117" s="17" t="s">
        <v>74</v>
      </c>
      <c r="M117" s="19">
        <v>45993</v>
      </c>
      <c r="N117" s="19">
        <v>46705</v>
      </c>
      <c r="O117" s="17" t="s">
        <v>830</v>
      </c>
    </row>
    <row r="118" spans="1:15" x14ac:dyDescent="0.25">
      <c r="A118" s="17" t="s">
        <v>39</v>
      </c>
      <c r="B118" s="17" t="s">
        <v>69</v>
      </c>
      <c r="C118" s="17" t="s">
        <v>70</v>
      </c>
      <c r="D118" s="17"/>
      <c r="E118" s="17" t="s">
        <v>54</v>
      </c>
      <c r="F118" s="17"/>
      <c r="G118" s="17"/>
      <c r="H118" s="17" t="s">
        <v>40</v>
      </c>
      <c r="I118" s="17" t="s">
        <v>828</v>
      </c>
      <c r="J118" s="17" t="s">
        <v>41</v>
      </c>
      <c r="K118" s="18">
        <v>53.28</v>
      </c>
      <c r="L118" s="17" t="s">
        <v>74</v>
      </c>
      <c r="M118" s="19">
        <v>45993</v>
      </c>
      <c r="N118" s="19">
        <v>46694</v>
      </c>
      <c r="O118" s="17" t="s">
        <v>830</v>
      </c>
    </row>
    <row r="119" spans="1:15" x14ac:dyDescent="0.25">
      <c r="A119" s="17" t="s">
        <v>348</v>
      </c>
      <c r="B119" s="17" t="s">
        <v>69</v>
      </c>
      <c r="C119" s="17" t="s">
        <v>70</v>
      </c>
      <c r="D119" s="17"/>
      <c r="E119" s="17" t="s">
        <v>350</v>
      </c>
      <c r="F119" s="17"/>
      <c r="G119" s="17"/>
      <c r="H119" s="17" t="s">
        <v>349</v>
      </c>
      <c r="I119" s="17" t="s">
        <v>828</v>
      </c>
      <c r="J119" s="17" t="s">
        <v>1002</v>
      </c>
      <c r="K119" s="18">
        <v>25.92</v>
      </c>
      <c r="L119" s="17" t="s">
        <v>74</v>
      </c>
      <c r="M119" s="19">
        <v>46013</v>
      </c>
      <c r="N119" s="19">
        <v>46720</v>
      </c>
      <c r="O119" s="17" t="s">
        <v>830</v>
      </c>
    </row>
    <row r="120" spans="1:15" x14ac:dyDescent="0.25">
      <c r="A120" s="17" t="s">
        <v>465</v>
      </c>
      <c r="B120" s="17" t="s">
        <v>69</v>
      </c>
      <c r="C120" s="17" t="s">
        <v>70</v>
      </c>
      <c r="D120" s="17"/>
      <c r="E120" s="17" t="s">
        <v>466</v>
      </c>
      <c r="F120" s="17"/>
      <c r="G120" s="17"/>
      <c r="H120" s="17" t="s">
        <v>462</v>
      </c>
      <c r="I120" s="17" t="s">
        <v>828</v>
      </c>
      <c r="J120" s="17" t="s">
        <v>1003</v>
      </c>
      <c r="K120" s="18">
        <v>71.64</v>
      </c>
      <c r="L120" s="17" t="s">
        <v>74</v>
      </c>
      <c r="M120" s="19">
        <v>45993</v>
      </c>
      <c r="N120" s="19">
        <v>46681</v>
      </c>
      <c r="O120" s="17" t="s">
        <v>830</v>
      </c>
    </row>
    <row r="121" spans="1:15" x14ac:dyDescent="0.25">
      <c r="A121" s="17" t="s">
        <v>530</v>
      </c>
      <c r="B121" s="17" t="s">
        <v>69</v>
      </c>
      <c r="C121" s="17" t="s">
        <v>70</v>
      </c>
      <c r="D121" s="17"/>
      <c r="E121" s="17" t="s">
        <v>1203</v>
      </c>
      <c r="F121" s="17"/>
      <c r="G121" s="17"/>
      <c r="H121" s="17" t="s">
        <v>531</v>
      </c>
      <c r="I121" s="17" t="s">
        <v>828</v>
      </c>
      <c r="J121" s="17" t="s">
        <v>1004</v>
      </c>
      <c r="K121" s="18">
        <v>41.4</v>
      </c>
      <c r="L121" s="17" t="s">
        <v>74</v>
      </c>
      <c r="M121" s="19">
        <v>45985</v>
      </c>
      <c r="N121" s="19">
        <v>46686</v>
      </c>
      <c r="O121" s="17" t="s">
        <v>830</v>
      </c>
    </row>
    <row r="122" spans="1:15" x14ac:dyDescent="0.25">
      <c r="A122" s="17" t="s">
        <v>412</v>
      </c>
      <c r="B122" s="17" t="s">
        <v>69</v>
      </c>
      <c r="C122" s="17" t="s">
        <v>70</v>
      </c>
      <c r="D122" s="17"/>
      <c r="E122" s="17" t="s">
        <v>415</v>
      </c>
      <c r="F122" s="17"/>
      <c r="G122" s="17"/>
      <c r="H122" s="17" t="s">
        <v>414</v>
      </c>
      <c r="I122" s="17" t="s">
        <v>828</v>
      </c>
      <c r="J122" s="17" t="s">
        <v>1005</v>
      </c>
      <c r="K122" s="18">
        <v>29.88</v>
      </c>
      <c r="L122" s="17" t="s">
        <v>74</v>
      </c>
      <c r="M122" s="19">
        <v>45996</v>
      </c>
      <c r="N122" s="19">
        <v>46707</v>
      </c>
      <c r="O122" s="17" t="s">
        <v>830</v>
      </c>
    </row>
    <row r="123" spans="1:15" x14ac:dyDescent="0.25">
      <c r="A123" s="17" t="s">
        <v>577</v>
      </c>
      <c r="B123" s="17" t="s">
        <v>69</v>
      </c>
      <c r="C123" s="17" t="s">
        <v>70</v>
      </c>
      <c r="D123" s="17"/>
      <c r="E123" s="17" t="s">
        <v>1006</v>
      </c>
      <c r="F123" s="17"/>
      <c r="G123" s="17"/>
      <c r="H123" s="17" t="s">
        <v>579</v>
      </c>
      <c r="I123" s="17" t="s">
        <v>828</v>
      </c>
      <c r="J123" s="17" t="s">
        <v>1007</v>
      </c>
      <c r="K123" s="18">
        <v>20.88</v>
      </c>
      <c r="L123" s="17" t="s">
        <v>74</v>
      </c>
      <c r="M123" s="19">
        <v>45983</v>
      </c>
      <c r="N123" s="19">
        <v>46686</v>
      </c>
      <c r="O123" s="17" t="s">
        <v>830</v>
      </c>
    </row>
    <row r="124" spans="1:15" x14ac:dyDescent="0.25">
      <c r="A124" s="17" t="s">
        <v>545</v>
      </c>
      <c r="B124" s="17" t="s">
        <v>69</v>
      </c>
      <c r="C124" s="17" t="s">
        <v>70</v>
      </c>
      <c r="D124" s="17"/>
      <c r="E124" s="17" t="s">
        <v>548</v>
      </c>
      <c r="F124" s="17"/>
      <c r="G124" s="17"/>
      <c r="H124" s="17" t="s">
        <v>32</v>
      </c>
      <c r="I124" s="17" t="s">
        <v>828</v>
      </c>
      <c r="J124" s="17" t="s">
        <v>1008</v>
      </c>
      <c r="K124" s="18">
        <v>93.6</v>
      </c>
      <c r="L124" s="17" t="s">
        <v>74</v>
      </c>
      <c r="M124" s="19">
        <v>45993</v>
      </c>
      <c r="N124" s="19">
        <v>46694</v>
      </c>
      <c r="O124" s="17" t="s">
        <v>830</v>
      </c>
    </row>
    <row r="125" spans="1:15" x14ac:dyDescent="0.25">
      <c r="A125" s="17" t="s">
        <v>385</v>
      </c>
      <c r="B125" s="17" t="s">
        <v>69</v>
      </c>
      <c r="C125" s="17" t="s">
        <v>70</v>
      </c>
      <c r="D125" s="17"/>
      <c r="E125" s="17" t="s">
        <v>387</v>
      </c>
      <c r="F125" s="17"/>
      <c r="G125" s="17"/>
      <c r="H125" s="17" t="s">
        <v>26</v>
      </c>
      <c r="I125" s="17" t="s">
        <v>828</v>
      </c>
      <c r="J125" s="17" t="s">
        <v>1009</v>
      </c>
      <c r="K125" s="18">
        <v>78.84</v>
      </c>
      <c r="L125" s="17" t="s">
        <v>74</v>
      </c>
      <c r="M125" s="19">
        <v>45994</v>
      </c>
      <c r="N125" s="19">
        <v>46707</v>
      </c>
      <c r="O125" s="17" t="s">
        <v>830</v>
      </c>
    </row>
    <row r="126" spans="1:15" x14ac:dyDescent="0.25">
      <c r="A126" s="17" t="s">
        <v>664</v>
      </c>
      <c r="B126" s="17" t="s">
        <v>69</v>
      </c>
      <c r="C126" s="17" t="s">
        <v>70</v>
      </c>
      <c r="D126" s="17"/>
      <c r="E126" s="17" t="s">
        <v>665</v>
      </c>
      <c r="F126" s="17"/>
      <c r="G126" s="17"/>
      <c r="H126" s="17" t="s">
        <v>35</v>
      </c>
      <c r="I126" s="17" t="s">
        <v>828</v>
      </c>
      <c r="J126" s="17" t="s">
        <v>1010</v>
      </c>
      <c r="K126" s="18">
        <v>64.8</v>
      </c>
      <c r="L126" s="17" t="s">
        <v>74</v>
      </c>
      <c r="M126" s="19">
        <v>46028</v>
      </c>
      <c r="N126" s="19">
        <v>46715</v>
      </c>
      <c r="O126" s="17" t="s">
        <v>830</v>
      </c>
    </row>
    <row r="127" spans="1:15" x14ac:dyDescent="0.25">
      <c r="A127" s="17" t="s">
        <v>438</v>
      </c>
      <c r="B127" s="17" t="s">
        <v>69</v>
      </c>
      <c r="C127" s="17" t="s">
        <v>70</v>
      </c>
      <c r="D127" s="17"/>
      <c r="E127" s="17" t="s">
        <v>442</v>
      </c>
      <c r="F127" s="17"/>
      <c r="G127" s="17"/>
      <c r="H127" s="17" t="s">
        <v>440</v>
      </c>
      <c r="I127" s="17" t="s">
        <v>828</v>
      </c>
      <c r="J127" s="17" t="s">
        <v>1011</v>
      </c>
      <c r="K127" s="18">
        <v>99.36</v>
      </c>
      <c r="L127" s="17" t="s">
        <v>74</v>
      </c>
      <c r="M127" s="19">
        <v>45999</v>
      </c>
      <c r="N127" s="19">
        <v>46707</v>
      </c>
      <c r="O127" s="17" t="s">
        <v>830</v>
      </c>
    </row>
    <row r="128" spans="1:15" x14ac:dyDescent="0.25">
      <c r="A128" s="17" t="s">
        <v>304</v>
      </c>
      <c r="B128" s="17" t="s">
        <v>69</v>
      </c>
      <c r="C128" s="17" t="s">
        <v>70</v>
      </c>
      <c r="D128" s="17"/>
      <c r="E128" s="17" t="s">
        <v>305</v>
      </c>
      <c r="F128" s="17"/>
      <c r="G128" s="17"/>
      <c r="H128" s="17" t="s">
        <v>299</v>
      </c>
      <c r="I128" s="17" t="s">
        <v>828</v>
      </c>
      <c r="J128" s="17" t="s">
        <v>1012</v>
      </c>
      <c r="K128" s="18">
        <v>87.48</v>
      </c>
      <c r="L128" s="17" t="s">
        <v>74</v>
      </c>
      <c r="M128" s="19">
        <v>45985</v>
      </c>
      <c r="N128" s="19">
        <v>46686</v>
      </c>
      <c r="O128" s="17" t="s">
        <v>830</v>
      </c>
    </row>
    <row r="129" spans="1:15" x14ac:dyDescent="0.25">
      <c r="A129" s="17" t="s">
        <v>395</v>
      </c>
      <c r="B129" s="17" t="s">
        <v>69</v>
      </c>
      <c r="C129" s="17" t="s">
        <v>70</v>
      </c>
      <c r="D129" s="17"/>
      <c r="E129" s="17" t="s">
        <v>396</v>
      </c>
      <c r="F129" s="17"/>
      <c r="G129" s="17"/>
      <c r="H129" s="17" t="s">
        <v>47</v>
      </c>
      <c r="I129" s="17" t="s">
        <v>828</v>
      </c>
      <c r="J129" s="17" t="s">
        <v>1013</v>
      </c>
      <c r="K129" s="18">
        <v>130.32</v>
      </c>
      <c r="L129" s="17" t="s">
        <v>74</v>
      </c>
      <c r="M129" s="19">
        <v>46044</v>
      </c>
      <c r="N129" s="19">
        <v>46757</v>
      </c>
      <c r="O129" s="17" t="s">
        <v>830</v>
      </c>
    </row>
    <row r="130" spans="1:15" x14ac:dyDescent="0.25">
      <c r="A130" s="17" t="s">
        <v>395</v>
      </c>
      <c r="B130" s="17" t="s">
        <v>69</v>
      </c>
      <c r="C130" s="17" t="s">
        <v>70</v>
      </c>
      <c r="D130" s="17"/>
      <c r="E130" s="17" t="s">
        <v>398</v>
      </c>
      <c r="F130" s="17"/>
      <c r="G130" s="17"/>
      <c r="H130" s="17" t="s">
        <v>47</v>
      </c>
      <c r="I130" s="17" t="s">
        <v>828</v>
      </c>
      <c r="J130" s="17" t="s">
        <v>1013</v>
      </c>
      <c r="K130" s="18">
        <v>12.6</v>
      </c>
      <c r="L130" s="17" t="s">
        <v>74</v>
      </c>
      <c r="M130" s="19">
        <v>46020</v>
      </c>
      <c r="N130" s="19">
        <v>46715</v>
      </c>
      <c r="O130" s="17" t="s">
        <v>830</v>
      </c>
    </row>
    <row r="131" spans="1:15" x14ac:dyDescent="0.25">
      <c r="A131" s="17" t="s">
        <v>42</v>
      </c>
      <c r="B131" s="17" t="s">
        <v>69</v>
      </c>
      <c r="C131" s="17" t="s">
        <v>70</v>
      </c>
      <c r="D131" s="17"/>
      <c r="E131" s="17" t="s">
        <v>57</v>
      </c>
      <c r="F131" s="17"/>
      <c r="G131" s="17"/>
      <c r="H131" s="17" t="s">
        <v>44</v>
      </c>
      <c r="I131" s="17" t="s">
        <v>828</v>
      </c>
      <c r="J131" s="17" t="s">
        <v>43</v>
      </c>
      <c r="K131" s="18">
        <v>20.88</v>
      </c>
      <c r="L131" s="17" t="s">
        <v>74</v>
      </c>
      <c r="M131" s="19">
        <v>45996</v>
      </c>
      <c r="N131" s="19">
        <v>46707</v>
      </c>
      <c r="O131" s="17" t="s">
        <v>830</v>
      </c>
    </row>
    <row r="132" spans="1:15" x14ac:dyDescent="0.25">
      <c r="A132" s="17" t="s">
        <v>370</v>
      </c>
      <c r="B132" s="17" t="s">
        <v>69</v>
      </c>
      <c r="C132" s="17" t="s">
        <v>70</v>
      </c>
      <c r="D132" s="17"/>
      <c r="E132" s="17" t="s">
        <v>371</v>
      </c>
      <c r="F132" s="17"/>
      <c r="G132" s="17"/>
      <c r="H132" s="17" t="s">
        <v>372</v>
      </c>
      <c r="I132" s="17" t="s">
        <v>828</v>
      </c>
      <c r="J132" s="17" t="s">
        <v>1014</v>
      </c>
      <c r="K132" s="18">
        <v>26.64</v>
      </c>
      <c r="L132" s="17" t="s">
        <v>74</v>
      </c>
      <c r="M132" s="19">
        <v>45974</v>
      </c>
      <c r="N132" s="19">
        <v>46677</v>
      </c>
      <c r="O132" s="17" t="s">
        <v>830</v>
      </c>
    </row>
    <row r="133" spans="1:15" x14ac:dyDescent="0.25">
      <c r="A133" s="17" t="s">
        <v>503</v>
      </c>
      <c r="B133" s="17" t="s">
        <v>69</v>
      </c>
      <c r="C133" s="17" t="s">
        <v>70</v>
      </c>
      <c r="D133" s="17"/>
      <c r="E133" s="17" t="s">
        <v>504</v>
      </c>
      <c r="F133" s="17"/>
      <c r="G133" s="17"/>
      <c r="H133" s="17" t="s">
        <v>505</v>
      </c>
      <c r="I133" s="17" t="s">
        <v>828</v>
      </c>
      <c r="J133" s="17" t="s">
        <v>1015</v>
      </c>
      <c r="K133" s="18">
        <v>29.88</v>
      </c>
      <c r="L133" s="17" t="s">
        <v>74</v>
      </c>
      <c r="M133" s="19">
        <v>45988</v>
      </c>
      <c r="N133" s="19">
        <v>46694</v>
      </c>
      <c r="O133" s="17" t="s">
        <v>830</v>
      </c>
    </row>
    <row r="134" spans="1:15" x14ac:dyDescent="0.25">
      <c r="A134" s="17" t="s">
        <v>418</v>
      </c>
      <c r="B134" s="17" t="s">
        <v>69</v>
      </c>
      <c r="C134" s="17" t="s">
        <v>70</v>
      </c>
      <c r="D134" s="17"/>
      <c r="E134" s="17" t="s">
        <v>419</v>
      </c>
      <c r="F134" s="17"/>
      <c r="G134" s="17"/>
      <c r="H134" s="17" t="s">
        <v>414</v>
      </c>
      <c r="I134" s="17" t="s">
        <v>828</v>
      </c>
      <c r="J134" s="17" t="s">
        <v>1016</v>
      </c>
      <c r="K134" s="18">
        <v>28.8</v>
      </c>
      <c r="L134" s="17" t="s">
        <v>74</v>
      </c>
      <c r="M134" s="19">
        <v>45993</v>
      </c>
      <c r="N134" s="19">
        <v>46705</v>
      </c>
      <c r="O134" s="17" t="s">
        <v>830</v>
      </c>
    </row>
    <row r="135" spans="1:15" x14ac:dyDescent="0.25">
      <c r="A135" s="17" t="s">
        <v>645</v>
      </c>
      <c r="B135" s="17" t="s">
        <v>69</v>
      </c>
      <c r="C135" s="17" t="s">
        <v>70</v>
      </c>
      <c r="D135" s="17"/>
      <c r="E135" s="17" t="s">
        <v>648</v>
      </c>
      <c r="F135" s="17"/>
      <c r="G135" s="17"/>
      <c r="H135" s="17" t="s">
        <v>40</v>
      </c>
      <c r="I135" s="17" t="s">
        <v>828</v>
      </c>
      <c r="J135" s="17" t="s">
        <v>1017</v>
      </c>
      <c r="K135" s="18">
        <v>68.400000000000006</v>
      </c>
      <c r="L135" s="17" t="s">
        <v>74</v>
      </c>
      <c r="M135" s="19">
        <v>45994</v>
      </c>
      <c r="N135" s="19">
        <v>46694</v>
      </c>
      <c r="O135" s="17" t="s">
        <v>830</v>
      </c>
    </row>
    <row r="136" spans="1:15" x14ac:dyDescent="0.25">
      <c r="A136" s="17" t="s">
        <v>446</v>
      </c>
      <c r="B136" s="17" t="s">
        <v>69</v>
      </c>
      <c r="C136" s="17" t="s">
        <v>70</v>
      </c>
      <c r="D136" s="17"/>
      <c r="E136" s="17" t="s">
        <v>447</v>
      </c>
      <c r="F136" s="17"/>
      <c r="G136" s="17"/>
      <c r="H136" s="17" t="s">
        <v>440</v>
      </c>
      <c r="I136" s="17" t="s">
        <v>828</v>
      </c>
      <c r="J136" s="17" t="s">
        <v>1018</v>
      </c>
      <c r="K136" s="18">
        <v>38.700000000000003</v>
      </c>
      <c r="L136" s="17" t="s">
        <v>74</v>
      </c>
      <c r="M136" s="19">
        <v>46003</v>
      </c>
      <c r="N136" s="19">
        <v>46707</v>
      </c>
      <c r="O136" s="17" t="s">
        <v>830</v>
      </c>
    </row>
    <row r="137" spans="1:15" x14ac:dyDescent="0.25">
      <c r="A137" s="17" t="s">
        <v>399</v>
      </c>
      <c r="B137" s="17" t="s">
        <v>69</v>
      </c>
      <c r="C137" s="17" t="s">
        <v>70</v>
      </c>
      <c r="D137" s="17"/>
      <c r="E137" s="17" t="s">
        <v>400</v>
      </c>
      <c r="F137" s="17"/>
      <c r="G137" s="17"/>
      <c r="H137" s="17" t="s">
        <v>47</v>
      </c>
      <c r="I137" s="17" t="s">
        <v>828</v>
      </c>
      <c r="J137" s="17" t="s">
        <v>1019</v>
      </c>
      <c r="K137" s="18">
        <v>91.8</v>
      </c>
      <c r="L137" s="17" t="s">
        <v>74</v>
      </c>
      <c r="M137" s="19">
        <v>46000</v>
      </c>
      <c r="N137" s="19">
        <v>46707</v>
      </c>
      <c r="O137" s="17" t="s">
        <v>830</v>
      </c>
    </row>
    <row r="138" spans="1:15" x14ac:dyDescent="0.25">
      <c r="A138" s="17" t="s">
        <v>623</v>
      </c>
      <c r="B138" s="17" t="s">
        <v>69</v>
      </c>
      <c r="C138" s="17" t="s">
        <v>70</v>
      </c>
      <c r="D138" s="17"/>
      <c r="E138" s="17" t="s">
        <v>626</v>
      </c>
      <c r="F138" s="17"/>
      <c r="G138" s="17"/>
      <c r="H138" s="17" t="s">
        <v>44</v>
      </c>
      <c r="I138" s="17" t="s">
        <v>828</v>
      </c>
      <c r="J138" s="17" t="s">
        <v>1020</v>
      </c>
      <c r="K138" s="18">
        <v>126.9</v>
      </c>
      <c r="L138" s="17" t="s">
        <v>74</v>
      </c>
      <c r="M138" s="19">
        <v>46008</v>
      </c>
      <c r="N138" s="19">
        <v>46720</v>
      </c>
      <c r="O138" s="17" t="s">
        <v>830</v>
      </c>
    </row>
    <row r="139" spans="1:15" x14ac:dyDescent="0.25">
      <c r="A139" s="17" t="s">
        <v>668</v>
      </c>
      <c r="B139" s="17" t="s">
        <v>69</v>
      </c>
      <c r="C139" s="17" t="s">
        <v>70</v>
      </c>
      <c r="D139" s="17"/>
      <c r="E139" s="17" t="s">
        <v>669</v>
      </c>
      <c r="F139" s="17"/>
      <c r="G139" s="17"/>
      <c r="H139" s="17" t="s">
        <v>35</v>
      </c>
      <c r="I139" s="17" t="s">
        <v>828</v>
      </c>
      <c r="J139" s="17" t="s">
        <v>1021</v>
      </c>
      <c r="K139" s="18">
        <v>48.6</v>
      </c>
      <c r="L139" s="17" t="s">
        <v>74</v>
      </c>
      <c r="M139" s="19">
        <v>45971</v>
      </c>
      <c r="N139" s="19">
        <v>46681</v>
      </c>
      <c r="O139" s="17" t="s">
        <v>830</v>
      </c>
    </row>
    <row r="140" spans="1:15" x14ac:dyDescent="0.25">
      <c r="A140" s="17" t="s">
        <v>308</v>
      </c>
      <c r="B140" s="17" t="s">
        <v>69</v>
      </c>
      <c r="C140" s="17" t="s">
        <v>70</v>
      </c>
      <c r="D140" s="17"/>
      <c r="E140" s="17" t="s">
        <v>1156</v>
      </c>
      <c r="F140" s="17"/>
      <c r="G140" s="17"/>
      <c r="H140" s="17" t="s">
        <v>299</v>
      </c>
      <c r="I140" s="17" t="s">
        <v>828</v>
      </c>
      <c r="J140" s="17" t="s">
        <v>1022</v>
      </c>
      <c r="K140" s="18">
        <v>4.5</v>
      </c>
      <c r="L140" s="17" t="s">
        <v>74</v>
      </c>
      <c r="M140" s="19">
        <v>46053</v>
      </c>
      <c r="N140" s="19">
        <v>46443</v>
      </c>
      <c r="O140" s="17" t="s">
        <v>830</v>
      </c>
    </row>
    <row r="141" spans="1:15" x14ac:dyDescent="0.25">
      <c r="A141" s="17" t="s">
        <v>308</v>
      </c>
      <c r="B141" s="17" t="s">
        <v>69</v>
      </c>
      <c r="C141" s="17" t="s">
        <v>70</v>
      </c>
      <c r="D141" s="17"/>
      <c r="E141" s="17" t="s">
        <v>309</v>
      </c>
      <c r="F141" s="17"/>
      <c r="G141" s="17"/>
      <c r="H141" s="17" t="s">
        <v>299</v>
      </c>
      <c r="I141" s="17" t="s">
        <v>828</v>
      </c>
      <c r="J141" s="17" t="s">
        <v>1022</v>
      </c>
      <c r="K141" s="18">
        <v>55.8</v>
      </c>
      <c r="L141" s="17" t="s">
        <v>74</v>
      </c>
      <c r="M141" s="19">
        <v>45968</v>
      </c>
      <c r="N141" s="19">
        <v>46681</v>
      </c>
      <c r="O141" s="17" t="s">
        <v>830</v>
      </c>
    </row>
    <row r="142" spans="1:15" x14ac:dyDescent="0.25">
      <c r="A142" s="17" t="s">
        <v>549</v>
      </c>
      <c r="B142" s="17" t="s">
        <v>69</v>
      </c>
      <c r="C142" s="17" t="s">
        <v>70</v>
      </c>
      <c r="D142" s="17"/>
      <c r="E142" s="17" t="s">
        <v>550</v>
      </c>
      <c r="F142" s="17"/>
      <c r="G142" s="17"/>
      <c r="H142" s="17" t="s">
        <v>32</v>
      </c>
      <c r="I142" s="17" t="s">
        <v>828</v>
      </c>
      <c r="J142" s="17" t="s">
        <v>1023</v>
      </c>
      <c r="K142" s="18">
        <v>28.8</v>
      </c>
      <c r="L142" s="17" t="s">
        <v>74</v>
      </c>
      <c r="M142" s="19">
        <v>45994</v>
      </c>
      <c r="N142" s="19">
        <v>46694</v>
      </c>
      <c r="O142" s="17" t="s">
        <v>830</v>
      </c>
    </row>
    <row r="143" spans="1:15" x14ac:dyDescent="0.25">
      <c r="A143" s="17" t="s">
        <v>353</v>
      </c>
      <c r="B143" s="17" t="s">
        <v>69</v>
      </c>
      <c r="C143" s="17" t="s">
        <v>70</v>
      </c>
      <c r="D143" s="17"/>
      <c r="E143" s="17" t="s">
        <v>354</v>
      </c>
      <c r="F143" s="17"/>
      <c r="G143" s="17"/>
      <c r="H143" s="17" t="s">
        <v>349</v>
      </c>
      <c r="I143" s="17" t="s">
        <v>828</v>
      </c>
      <c r="J143" s="17" t="s">
        <v>1024</v>
      </c>
      <c r="K143" s="18">
        <v>66.599999999999994</v>
      </c>
      <c r="L143" s="17" t="s">
        <v>74</v>
      </c>
      <c r="M143" s="19">
        <v>46051</v>
      </c>
      <c r="N143" s="19">
        <v>46757</v>
      </c>
      <c r="O143" s="17" t="s">
        <v>830</v>
      </c>
    </row>
    <row r="144" spans="1:15" x14ac:dyDescent="0.25">
      <c r="A144" s="17" t="s">
        <v>534</v>
      </c>
      <c r="B144" s="17" t="s">
        <v>69</v>
      </c>
      <c r="C144" s="17" t="s">
        <v>70</v>
      </c>
      <c r="D144" s="17"/>
      <c r="E144" s="17" t="s">
        <v>536</v>
      </c>
      <c r="F144" s="17"/>
      <c r="G144" s="17"/>
      <c r="H144" s="17" t="s">
        <v>531</v>
      </c>
      <c r="I144" s="17" t="s">
        <v>828</v>
      </c>
      <c r="J144" s="17" t="s">
        <v>1025</v>
      </c>
      <c r="K144" s="18">
        <v>93.6</v>
      </c>
      <c r="L144" s="17" t="s">
        <v>74</v>
      </c>
      <c r="M144" s="19">
        <v>46042</v>
      </c>
      <c r="N144" s="19">
        <v>46741</v>
      </c>
      <c r="O144" s="17" t="s">
        <v>830</v>
      </c>
    </row>
    <row r="145" spans="1:15" x14ac:dyDescent="0.25">
      <c r="A145" s="17" t="s">
        <v>134</v>
      </c>
      <c r="B145" s="17" t="s">
        <v>69</v>
      </c>
      <c r="C145" s="17" t="s">
        <v>70</v>
      </c>
      <c r="D145" s="17"/>
      <c r="E145" s="17" t="s">
        <v>1027</v>
      </c>
      <c r="F145" s="17"/>
      <c r="G145" s="17"/>
      <c r="H145" s="17" t="s">
        <v>136</v>
      </c>
      <c r="I145" s="17" t="s">
        <v>828</v>
      </c>
      <c r="J145" s="17" t="s">
        <v>1026</v>
      </c>
      <c r="K145" s="18">
        <v>11</v>
      </c>
      <c r="L145" s="17" t="s">
        <v>74</v>
      </c>
      <c r="M145" s="19">
        <v>45957</v>
      </c>
      <c r="N145" s="19">
        <v>46214</v>
      </c>
      <c r="O145" s="17" t="s">
        <v>830</v>
      </c>
    </row>
    <row r="146" spans="1:15" x14ac:dyDescent="0.25">
      <c r="A146" s="17" t="s">
        <v>134</v>
      </c>
      <c r="B146" s="17" t="s">
        <v>69</v>
      </c>
      <c r="C146" s="17" t="s">
        <v>70</v>
      </c>
      <c r="D146" s="17"/>
      <c r="E146" s="17" t="s">
        <v>148</v>
      </c>
      <c r="F146" s="17"/>
      <c r="G146" s="17"/>
      <c r="H146" s="17" t="s">
        <v>136</v>
      </c>
      <c r="I146" s="17" t="s">
        <v>828</v>
      </c>
      <c r="J146" s="17" t="s">
        <v>1026</v>
      </c>
      <c r="K146" s="18">
        <v>85</v>
      </c>
      <c r="L146" s="17" t="s">
        <v>74</v>
      </c>
      <c r="M146" s="19">
        <v>45988</v>
      </c>
      <c r="N146" s="19">
        <v>46234</v>
      </c>
      <c r="O146" s="17" t="s">
        <v>830</v>
      </c>
    </row>
    <row r="147" spans="1:15" x14ac:dyDescent="0.25">
      <c r="A147" s="17" t="s">
        <v>154</v>
      </c>
      <c r="B147" s="17" t="s">
        <v>69</v>
      </c>
      <c r="C147" s="17" t="s">
        <v>70</v>
      </c>
      <c r="D147" s="17"/>
      <c r="E147" s="17" t="s">
        <v>1028</v>
      </c>
      <c r="F147" s="17"/>
      <c r="G147" s="17"/>
      <c r="H147" s="17" t="s">
        <v>136</v>
      </c>
      <c r="I147" s="17" t="s">
        <v>828</v>
      </c>
      <c r="J147" s="17" t="s">
        <v>1029</v>
      </c>
      <c r="K147" s="18">
        <v>3</v>
      </c>
      <c r="L147" s="17" t="s">
        <v>74</v>
      </c>
      <c r="M147" s="19">
        <v>45981</v>
      </c>
      <c r="N147" s="19">
        <v>46241</v>
      </c>
      <c r="O147" s="17" t="s">
        <v>830</v>
      </c>
    </row>
    <row r="148" spans="1:15" x14ac:dyDescent="0.25">
      <c r="A148" s="17" t="s">
        <v>154</v>
      </c>
      <c r="B148" s="17" t="s">
        <v>69</v>
      </c>
      <c r="C148" s="17" t="s">
        <v>70</v>
      </c>
      <c r="D148" s="17"/>
      <c r="E148" s="17" t="s">
        <v>159</v>
      </c>
      <c r="F148" s="17"/>
      <c r="G148" s="17"/>
      <c r="H148" s="17" t="s">
        <v>136</v>
      </c>
      <c r="I148" s="17" t="s">
        <v>828</v>
      </c>
      <c r="J148" s="17" t="s">
        <v>1029</v>
      </c>
      <c r="K148" s="18">
        <v>280</v>
      </c>
      <c r="L148" s="17" t="s">
        <v>74</v>
      </c>
      <c r="M148" s="19">
        <v>45981</v>
      </c>
      <c r="N148" s="19">
        <v>46241</v>
      </c>
      <c r="O148" s="17" t="s">
        <v>830</v>
      </c>
    </row>
    <row r="149" spans="1:15" x14ac:dyDescent="0.25">
      <c r="A149" s="17" t="s">
        <v>2</v>
      </c>
      <c r="B149" s="17" t="s">
        <v>69</v>
      </c>
      <c r="C149" s="17" t="s">
        <v>70</v>
      </c>
      <c r="D149" s="17"/>
      <c r="E149" s="17" t="s">
        <v>53</v>
      </c>
      <c r="F149" s="17"/>
      <c r="G149" s="17"/>
      <c r="H149" s="17" t="s">
        <v>3</v>
      </c>
      <c r="I149" s="17" t="s">
        <v>828</v>
      </c>
      <c r="J149" s="17" t="s">
        <v>5</v>
      </c>
      <c r="K149" s="18">
        <v>23.7</v>
      </c>
      <c r="L149" s="17" t="s">
        <v>74</v>
      </c>
      <c r="M149" s="19">
        <v>45993</v>
      </c>
      <c r="N149" s="19">
        <v>46707</v>
      </c>
      <c r="O149" s="17" t="s">
        <v>830</v>
      </c>
    </row>
    <row r="150" spans="1:15" x14ac:dyDescent="0.25">
      <c r="A150" s="17" t="s">
        <v>6</v>
      </c>
      <c r="B150" s="17" t="s">
        <v>69</v>
      </c>
      <c r="C150" s="17" t="s">
        <v>70</v>
      </c>
      <c r="D150" s="17"/>
      <c r="E150" s="17" t="s">
        <v>528</v>
      </c>
      <c r="F150" s="17"/>
      <c r="G150" s="17"/>
      <c r="H150" s="17" t="s">
        <v>7</v>
      </c>
      <c r="I150" s="17" t="s">
        <v>828</v>
      </c>
      <c r="J150" s="17" t="s">
        <v>4</v>
      </c>
      <c r="K150" s="18">
        <v>104.25</v>
      </c>
      <c r="L150" s="17" t="s">
        <v>74</v>
      </c>
      <c r="M150" s="19">
        <v>46010</v>
      </c>
      <c r="N150" s="19">
        <v>46727</v>
      </c>
      <c r="O150" s="17" t="s">
        <v>830</v>
      </c>
    </row>
    <row r="151" spans="1:15" x14ac:dyDescent="0.25">
      <c r="A151" s="17" t="s">
        <v>10</v>
      </c>
      <c r="B151" s="17" t="s">
        <v>69</v>
      </c>
      <c r="C151" s="17" t="s">
        <v>70</v>
      </c>
      <c r="D151" s="17"/>
      <c r="E151" s="17" t="s">
        <v>404</v>
      </c>
      <c r="F151" s="17"/>
      <c r="G151" s="17"/>
      <c r="H151" s="17" t="s">
        <v>11</v>
      </c>
      <c r="I151" s="17" t="s">
        <v>828</v>
      </c>
      <c r="J151" s="17" t="s">
        <v>12</v>
      </c>
      <c r="K151" s="18">
        <v>88.95</v>
      </c>
      <c r="L151" s="17" t="s">
        <v>74</v>
      </c>
      <c r="M151" s="19">
        <v>46001</v>
      </c>
      <c r="N151" s="19">
        <v>46712</v>
      </c>
      <c r="O151" s="17" t="s">
        <v>830</v>
      </c>
    </row>
    <row r="152" spans="1:15" x14ac:dyDescent="0.25">
      <c r="A152" s="17" t="s">
        <v>13</v>
      </c>
      <c r="B152" s="17" t="s">
        <v>69</v>
      </c>
      <c r="C152" s="17" t="s">
        <v>70</v>
      </c>
      <c r="D152" s="17"/>
      <c r="E152" s="17" t="s">
        <v>499</v>
      </c>
      <c r="F152" s="17"/>
      <c r="G152" s="17"/>
      <c r="H152" s="17" t="s">
        <v>15</v>
      </c>
      <c r="I152" s="17" t="s">
        <v>828</v>
      </c>
      <c r="J152" s="17" t="s">
        <v>14</v>
      </c>
      <c r="K152" s="18">
        <v>18.600000000000001</v>
      </c>
      <c r="L152" s="17" t="s">
        <v>74</v>
      </c>
      <c r="M152" s="19">
        <v>46001</v>
      </c>
      <c r="N152" s="19">
        <v>46712</v>
      </c>
      <c r="O152" s="17" t="s">
        <v>830</v>
      </c>
    </row>
    <row r="153" spans="1:15" x14ac:dyDescent="0.25">
      <c r="A153" s="17" t="s">
        <v>16</v>
      </c>
      <c r="B153" s="17" t="s">
        <v>69</v>
      </c>
      <c r="C153" s="17" t="s">
        <v>70</v>
      </c>
      <c r="D153" s="17"/>
      <c r="E153" s="17" t="s">
        <v>583</v>
      </c>
      <c r="F153" s="17"/>
      <c r="G153" s="17"/>
      <c r="H153" s="17" t="s">
        <v>17</v>
      </c>
      <c r="I153" s="17" t="s">
        <v>828</v>
      </c>
      <c r="J153" s="17" t="s">
        <v>18</v>
      </c>
      <c r="K153" s="18">
        <v>120</v>
      </c>
      <c r="L153" s="17" t="s">
        <v>74</v>
      </c>
      <c r="M153" s="19">
        <v>45993</v>
      </c>
      <c r="N153" s="19">
        <v>46705</v>
      </c>
      <c r="O153" s="17" t="s">
        <v>830</v>
      </c>
    </row>
    <row r="154" spans="1:15" x14ac:dyDescent="0.25">
      <c r="A154" s="17" t="s">
        <v>19</v>
      </c>
      <c r="B154" s="17" t="s">
        <v>69</v>
      </c>
      <c r="C154" s="17" t="s">
        <v>70</v>
      </c>
      <c r="D154" s="17"/>
      <c r="E154" s="17" t="s">
        <v>1206</v>
      </c>
      <c r="F154" s="17"/>
      <c r="G154" s="17"/>
      <c r="H154" s="17" t="s">
        <v>20</v>
      </c>
      <c r="I154" s="17" t="s">
        <v>828</v>
      </c>
      <c r="J154" s="17" t="s">
        <v>21</v>
      </c>
      <c r="K154" s="18">
        <v>92.55</v>
      </c>
      <c r="L154" s="17" t="s">
        <v>74</v>
      </c>
      <c r="M154" s="19">
        <v>46058</v>
      </c>
      <c r="N154" s="19">
        <v>46712</v>
      </c>
      <c r="O154" s="17" t="s">
        <v>830</v>
      </c>
    </row>
    <row r="155" spans="1:15" x14ac:dyDescent="0.25">
      <c r="A155" s="17" t="s">
        <v>563</v>
      </c>
      <c r="B155" s="17" t="s">
        <v>69</v>
      </c>
      <c r="C155" s="17" t="s">
        <v>70</v>
      </c>
      <c r="D155" s="17"/>
      <c r="E155" s="17" t="s">
        <v>567</v>
      </c>
      <c r="F155" s="17"/>
      <c r="G155" s="17"/>
      <c r="H155" s="17" t="s">
        <v>565</v>
      </c>
      <c r="I155" s="17" t="s">
        <v>828</v>
      </c>
      <c r="J155" s="17" t="s">
        <v>1030</v>
      </c>
      <c r="K155" s="18">
        <v>11.7</v>
      </c>
      <c r="L155" s="17" t="s">
        <v>74</v>
      </c>
      <c r="M155" s="19">
        <v>45974</v>
      </c>
      <c r="N155" s="19">
        <v>46681</v>
      </c>
      <c r="O155" s="17" t="s">
        <v>830</v>
      </c>
    </row>
    <row r="156" spans="1:15" x14ac:dyDescent="0.25">
      <c r="A156" s="17" t="s">
        <v>22</v>
      </c>
      <c r="B156" s="17" t="s">
        <v>69</v>
      </c>
      <c r="C156" s="17" t="s">
        <v>70</v>
      </c>
      <c r="D156" s="17"/>
      <c r="E156" s="17" t="s">
        <v>341</v>
      </c>
      <c r="F156" s="17"/>
      <c r="G156" s="17"/>
      <c r="H156" s="17" t="s">
        <v>23</v>
      </c>
      <c r="I156" s="17" t="s">
        <v>828</v>
      </c>
      <c r="J156" s="17" t="s">
        <v>24</v>
      </c>
      <c r="K156" s="18">
        <v>13.95</v>
      </c>
      <c r="L156" s="17" t="s">
        <v>74</v>
      </c>
      <c r="M156" s="19">
        <v>45995</v>
      </c>
      <c r="N156" s="19">
        <v>46707</v>
      </c>
      <c r="O156" s="17" t="s">
        <v>830</v>
      </c>
    </row>
    <row r="157" spans="1:15" x14ac:dyDescent="0.25">
      <c r="A157" s="17" t="s">
        <v>25</v>
      </c>
      <c r="B157" s="17" t="s">
        <v>69</v>
      </c>
      <c r="C157" s="17" t="s">
        <v>70</v>
      </c>
      <c r="D157" s="17"/>
      <c r="E157" s="17" t="s">
        <v>384</v>
      </c>
      <c r="F157" s="17"/>
      <c r="G157" s="17"/>
      <c r="H157" s="17" t="s">
        <v>26</v>
      </c>
      <c r="I157" s="17" t="s">
        <v>828</v>
      </c>
      <c r="J157" s="17" t="s">
        <v>27</v>
      </c>
      <c r="K157" s="18">
        <v>52.35</v>
      </c>
      <c r="L157" s="17" t="s">
        <v>74</v>
      </c>
      <c r="M157" s="19">
        <v>46017</v>
      </c>
      <c r="N157" s="19">
        <v>46694</v>
      </c>
      <c r="O157" s="17" t="s">
        <v>830</v>
      </c>
    </row>
    <row r="158" spans="1:15" x14ac:dyDescent="0.25">
      <c r="A158" s="17" t="s">
        <v>1031</v>
      </c>
      <c r="B158" s="17" t="s">
        <v>69</v>
      </c>
      <c r="C158" s="17" t="s">
        <v>70</v>
      </c>
      <c r="D158" s="17"/>
      <c r="E158" s="17" t="s">
        <v>1032</v>
      </c>
      <c r="F158" s="17"/>
      <c r="G158" s="17"/>
      <c r="H158" s="17" t="s">
        <v>1033</v>
      </c>
      <c r="I158" s="17" t="s">
        <v>828</v>
      </c>
      <c r="J158" s="17" t="s">
        <v>1034</v>
      </c>
      <c r="K158" s="18">
        <v>9.36</v>
      </c>
      <c r="L158" s="17" t="s">
        <v>74</v>
      </c>
      <c r="M158" s="19">
        <v>45981</v>
      </c>
      <c r="N158" s="19">
        <v>46691</v>
      </c>
      <c r="O158" s="17" t="s">
        <v>830</v>
      </c>
    </row>
    <row r="159" spans="1:15" x14ac:dyDescent="0.25">
      <c r="A159" s="17" t="s">
        <v>712</v>
      </c>
      <c r="B159" s="17" t="s">
        <v>69</v>
      </c>
      <c r="C159" s="17" t="s">
        <v>70</v>
      </c>
      <c r="D159" s="17"/>
      <c r="E159" s="17" t="s">
        <v>1035</v>
      </c>
      <c r="F159" s="17"/>
      <c r="G159" s="17"/>
      <c r="H159" s="17" t="s">
        <v>714</v>
      </c>
      <c r="I159" s="17" t="s">
        <v>828</v>
      </c>
      <c r="J159" s="17" t="s">
        <v>1036</v>
      </c>
      <c r="K159" s="18">
        <v>10.08</v>
      </c>
      <c r="L159" s="17" t="s">
        <v>74</v>
      </c>
      <c r="M159" s="19">
        <v>45616</v>
      </c>
      <c r="N159" s="19">
        <v>46346</v>
      </c>
      <c r="O159" s="17" t="s">
        <v>830</v>
      </c>
    </row>
    <row r="160" spans="1:15" x14ac:dyDescent="0.25">
      <c r="A160" s="17" t="s">
        <v>585</v>
      </c>
      <c r="B160" s="17" t="s">
        <v>69</v>
      </c>
      <c r="C160" s="17" t="s">
        <v>70</v>
      </c>
      <c r="D160" s="17"/>
      <c r="E160" s="17" t="s">
        <v>586</v>
      </c>
      <c r="F160" s="17"/>
      <c r="G160" s="17"/>
      <c r="H160" s="17" t="s">
        <v>587</v>
      </c>
      <c r="I160" s="17" t="s">
        <v>828</v>
      </c>
      <c r="J160" s="17" t="s">
        <v>1037</v>
      </c>
      <c r="K160" s="18">
        <v>49.536000000000001</v>
      </c>
      <c r="L160" s="17" t="s">
        <v>74</v>
      </c>
      <c r="M160" s="19">
        <v>46035</v>
      </c>
      <c r="N160" s="19">
        <v>46741</v>
      </c>
      <c r="O160" s="17" t="s">
        <v>830</v>
      </c>
    </row>
    <row r="161" spans="1:15" x14ac:dyDescent="0.25">
      <c r="A161" s="17" t="s">
        <v>420</v>
      </c>
      <c r="B161" s="17" t="s">
        <v>69</v>
      </c>
      <c r="C161" s="17" t="s">
        <v>70</v>
      </c>
      <c r="D161" s="17"/>
      <c r="E161" s="17" t="s">
        <v>421</v>
      </c>
      <c r="F161" s="17"/>
      <c r="G161" s="17"/>
      <c r="H161" s="17" t="s">
        <v>422</v>
      </c>
      <c r="I161" s="17" t="s">
        <v>828</v>
      </c>
      <c r="J161" s="17" t="s">
        <v>1038</v>
      </c>
      <c r="K161" s="18">
        <v>60.911999999999999</v>
      </c>
      <c r="L161" s="17" t="s">
        <v>74</v>
      </c>
      <c r="M161" s="19">
        <v>46001</v>
      </c>
      <c r="N161" s="19">
        <v>46700</v>
      </c>
      <c r="O161" s="17" t="s">
        <v>830</v>
      </c>
    </row>
    <row r="162" spans="1:15" x14ac:dyDescent="0.25">
      <c r="A162" s="17" t="s">
        <v>482</v>
      </c>
      <c r="B162" s="17" t="s">
        <v>69</v>
      </c>
      <c r="C162" s="17" t="s">
        <v>70</v>
      </c>
      <c r="D162" s="17"/>
      <c r="E162" s="17" t="s">
        <v>483</v>
      </c>
      <c r="F162" s="17"/>
      <c r="G162" s="17"/>
      <c r="H162" s="17" t="s">
        <v>484</v>
      </c>
      <c r="I162" s="17" t="s">
        <v>828</v>
      </c>
      <c r="J162" s="17" t="s">
        <v>1039</v>
      </c>
      <c r="K162" s="18">
        <v>26.352</v>
      </c>
      <c r="L162" s="17" t="s">
        <v>74</v>
      </c>
      <c r="M162" s="19">
        <v>45926</v>
      </c>
      <c r="N162" s="19">
        <v>46637</v>
      </c>
      <c r="O162" s="17" t="s">
        <v>830</v>
      </c>
    </row>
    <row r="163" spans="1:15" x14ac:dyDescent="0.25">
      <c r="A163" s="17" t="s">
        <v>324</v>
      </c>
      <c r="B163" s="17" t="s">
        <v>69</v>
      </c>
      <c r="C163" s="17" t="s">
        <v>70</v>
      </c>
      <c r="D163" s="17"/>
      <c r="E163" s="17" t="s">
        <v>325</v>
      </c>
      <c r="F163" s="17"/>
      <c r="G163" s="17"/>
      <c r="H163" s="17" t="s">
        <v>326</v>
      </c>
      <c r="I163" s="17" t="s">
        <v>828</v>
      </c>
      <c r="J163" s="17" t="s">
        <v>1040</v>
      </c>
      <c r="K163" s="18">
        <v>2.5920000000000001</v>
      </c>
      <c r="L163" s="17" t="s">
        <v>74</v>
      </c>
      <c r="M163" s="19">
        <v>46000</v>
      </c>
      <c r="N163" s="19">
        <v>46700</v>
      </c>
      <c r="O163" s="17" t="s">
        <v>830</v>
      </c>
    </row>
    <row r="164" spans="1:15" x14ac:dyDescent="0.25">
      <c r="A164" s="17" t="s">
        <v>514</v>
      </c>
      <c r="B164" s="17" t="s">
        <v>69</v>
      </c>
      <c r="C164" s="17" t="s">
        <v>70</v>
      </c>
      <c r="D164" s="17"/>
      <c r="E164" s="17" t="s">
        <v>515</v>
      </c>
      <c r="F164" s="17"/>
      <c r="G164" s="17"/>
      <c r="H164" s="17" t="s">
        <v>516</v>
      </c>
      <c r="I164" s="17" t="s">
        <v>828</v>
      </c>
      <c r="J164" s="17" t="s">
        <v>1041</v>
      </c>
      <c r="K164" s="18">
        <v>34.704000000000001</v>
      </c>
      <c r="L164" s="17" t="s">
        <v>74</v>
      </c>
      <c r="M164" s="19">
        <v>46038</v>
      </c>
      <c r="N164" s="19">
        <v>46741</v>
      </c>
      <c r="O164" s="17" t="s">
        <v>830</v>
      </c>
    </row>
    <row r="165" spans="1:15" x14ac:dyDescent="0.25">
      <c r="A165" s="17" t="s">
        <v>379</v>
      </c>
      <c r="B165" s="17" t="s">
        <v>69</v>
      </c>
      <c r="C165" s="17" t="s">
        <v>70</v>
      </c>
      <c r="D165" s="17"/>
      <c r="E165" s="17" t="s">
        <v>380</v>
      </c>
      <c r="F165" s="17"/>
      <c r="G165" s="17"/>
      <c r="H165" s="17" t="s">
        <v>381</v>
      </c>
      <c r="I165" s="17" t="s">
        <v>828</v>
      </c>
      <c r="J165" s="17" t="s">
        <v>1042</v>
      </c>
      <c r="K165" s="18">
        <v>63.072000000000003</v>
      </c>
      <c r="L165" s="17" t="s">
        <v>74</v>
      </c>
      <c r="M165" s="19">
        <v>46035</v>
      </c>
      <c r="N165" s="19">
        <v>46741</v>
      </c>
      <c r="O165" s="17" t="s">
        <v>830</v>
      </c>
    </row>
    <row r="166" spans="1:15" x14ac:dyDescent="0.25">
      <c r="A166" s="17" t="s">
        <v>654</v>
      </c>
      <c r="B166" s="17" t="s">
        <v>69</v>
      </c>
      <c r="C166" s="17" t="s">
        <v>70</v>
      </c>
      <c r="D166" s="17"/>
      <c r="E166" s="17" t="s">
        <v>655</v>
      </c>
      <c r="F166" s="17"/>
      <c r="G166" s="17"/>
      <c r="H166" s="17" t="s">
        <v>656</v>
      </c>
      <c r="I166" s="17" t="s">
        <v>828</v>
      </c>
      <c r="J166" s="17" t="s">
        <v>1043</v>
      </c>
      <c r="K166" s="18">
        <v>41.328000000000003</v>
      </c>
      <c r="L166" s="17" t="s">
        <v>74</v>
      </c>
      <c r="M166" s="19">
        <v>45947</v>
      </c>
      <c r="N166" s="19">
        <v>46649</v>
      </c>
      <c r="O166" s="17" t="s">
        <v>830</v>
      </c>
    </row>
    <row r="167" spans="1:15" x14ac:dyDescent="0.25">
      <c r="A167" s="17" t="s">
        <v>1044</v>
      </c>
      <c r="B167" s="17" t="s">
        <v>69</v>
      </c>
      <c r="C167" s="17" t="s">
        <v>70</v>
      </c>
      <c r="D167" s="17"/>
      <c r="E167" s="17" t="s">
        <v>1210</v>
      </c>
      <c r="F167" s="17"/>
      <c r="G167" s="17"/>
      <c r="H167" s="17" t="s">
        <v>1045</v>
      </c>
      <c r="I167" s="17" t="s">
        <v>828</v>
      </c>
      <c r="J167" s="17" t="s">
        <v>1046</v>
      </c>
      <c r="K167" s="18">
        <v>53.423999999999999</v>
      </c>
      <c r="L167" s="17" t="s">
        <v>74</v>
      </c>
      <c r="M167" s="19">
        <v>46059</v>
      </c>
      <c r="N167" s="19">
        <v>46771</v>
      </c>
      <c r="O167" s="17" t="s">
        <v>830</v>
      </c>
    </row>
    <row r="168" spans="1:15" x14ac:dyDescent="0.25">
      <c r="A168" s="17" t="s">
        <v>1047</v>
      </c>
      <c r="B168" s="17" t="s">
        <v>69</v>
      </c>
      <c r="C168" s="17" t="s">
        <v>70</v>
      </c>
      <c r="D168" s="17"/>
      <c r="E168" s="17" t="s">
        <v>1048</v>
      </c>
      <c r="F168" s="17"/>
      <c r="G168" s="17"/>
      <c r="H168" s="17" t="s">
        <v>1049</v>
      </c>
      <c r="I168" s="17" t="s">
        <v>828</v>
      </c>
      <c r="J168" s="17" t="s">
        <v>1050</v>
      </c>
      <c r="K168" s="18">
        <v>83.52</v>
      </c>
      <c r="L168" s="17" t="s">
        <v>74</v>
      </c>
      <c r="M168" s="19">
        <v>45680</v>
      </c>
      <c r="N168" s="19">
        <v>46398</v>
      </c>
      <c r="O168" s="17" t="s">
        <v>830</v>
      </c>
    </row>
    <row r="169" spans="1:15" x14ac:dyDescent="0.25">
      <c r="A169" s="17" t="s">
        <v>290</v>
      </c>
      <c r="B169" s="17" t="s">
        <v>69</v>
      </c>
      <c r="C169" s="17" t="s">
        <v>70</v>
      </c>
      <c r="D169" s="17"/>
      <c r="E169" s="17" t="s">
        <v>292</v>
      </c>
      <c r="F169" s="17"/>
      <c r="G169" s="17"/>
      <c r="H169" s="17" t="s">
        <v>291</v>
      </c>
      <c r="I169" s="17" t="s">
        <v>828</v>
      </c>
      <c r="J169" s="17" t="s">
        <v>1051</v>
      </c>
      <c r="K169" s="18">
        <v>35.136000000000003</v>
      </c>
      <c r="L169" s="17" t="s">
        <v>74</v>
      </c>
      <c r="M169" s="19">
        <v>46030</v>
      </c>
      <c r="N169" s="19">
        <v>46741</v>
      </c>
      <c r="O169" s="17" t="s">
        <v>830</v>
      </c>
    </row>
    <row r="170" spans="1:15" x14ac:dyDescent="0.25">
      <c r="A170" s="17" t="s">
        <v>560</v>
      </c>
      <c r="B170" s="17" t="s">
        <v>69</v>
      </c>
      <c r="C170" s="17" t="s">
        <v>70</v>
      </c>
      <c r="D170" s="17"/>
      <c r="E170" s="17" t="s">
        <v>561</v>
      </c>
      <c r="F170" s="17"/>
      <c r="G170" s="17"/>
      <c r="H170" s="17" t="s">
        <v>562</v>
      </c>
      <c r="I170" s="17" t="s">
        <v>828</v>
      </c>
      <c r="J170" s="17" t="s">
        <v>1052</v>
      </c>
      <c r="K170" s="18">
        <v>36.287999999999997</v>
      </c>
      <c r="L170" s="17" t="s">
        <v>74</v>
      </c>
      <c r="M170" s="19">
        <v>45926</v>
      </c>
      <c r="N170" s="19">
        <v>46637</v>
      </c>
      <c r="O170" s="17" t="s">
        <v>830</v>
      </c>
    </row>
    <row r="171" spans="1:15" x14ac:dyDescent="0.25">
      <c r="A171" s="17" t="s">
        <v>401</v>
      </c>
      <c r="B171" s="17" t="s">
        <v>69</v>
      </c>
      <c r="C171" s="17" t="s">
        <v>70</v>
      </c>
      <c r="D171" s="17"/>
      <c r="E171" s="17" t="s">
        <v>402</v>
      </c>
      <c r="F171" s="17"/>
      <c r="G171" s="17"/>
      <c r="H171" s="17" t="s">
        <v>403</v>
      </c>
      <c r="I171" s="17" t="s">
        <v>828</v>
      </c>
      <c r="J171" s="17" t="s">
        <v>1053</v>
      </c>
      <c r="K171" s="18">
        <v>55.26</v>
      </c>
      <c r="L171" s="17" t="s">
        <v>74</v>
      </c>
      <c r="M171" s="19">
        <v>45702</v>
      </c>
      <c r="N171" s="19">
        <v>46420</v>
      </c>
      <c r="O171" s="17" t="s">
        <v>830</v>
      </c>
    </row>
    <row r="172" spans="1:15" x14ac:dyDescent="0.25">
      <c r="A172" s="17" t="s">
        <v>1054</v>
      </c>
      <c r="B172" s="17" t="s">
        <v>69</v>
      </c>
      <c r="C172" s="17" t="s">
        <v>70</v>
      </c>
      <c r="D172" s="17"/>
      <c r="E172" s="17" t="s">
        <v>1055</v>
      </c>
      <c r="F172" s="17"/>
      <c r="G172" s="17"/>
      <c r="H172" s="17" t="s">
        <v>1056</v>
      </c>
      <c r="I172" s="17" t="s">
        <v>828</v>
      </c>
      <c r="J172" s="17" t="s">
        <v>1057</v>
      </c>
      <c r="K172" s="18">
        <v>1.98</v>
      </c>
      <c r="L172" s="17" t="s">
        <v>74</v>
      </c>
      <c r="M172" s="19">
        <v>45624</v>
      </c>
      <c r="N172" s="19">
        <v>46330</v>
      </c>
      <c r="O172" s="17" t="s">
        <v>830</v>
      </c>
    </row>
    <row r="173" spans="1:15" x14ac:dyDescent="0.25">
      <c r="A173" s="17" t="s">
        <v>1058</v>
      </c>
      <c r="B173" s="17" t="s">
        <v>69</v>
      </c>
      <c r="C173" s="17" t="s">
        <v>70</v>
      </c>
      <c r="D173" s="17"/>
      <c r="E173" s="17" t="s">
        <v>1059</v>
      </c>
      <c r="F173" s="17"/>
      <c r="G173" s="17"/>
      <c r="H173" s="17" t="s">
        <v>1060</v>
      </c>
      <c r="I173" s="17" t="s">
        <v>828</v>
      </c>
      <c r="J173" s="17" t="s">
        <v>1061</v>
      </c>
      <c r="K173" s="18">
        <v>21.9</v>
      </c>
      <c r="L173" s="17" t="s">
        <v>74</v>
      </c>
      <c r="M173" s="19">
        <v>45665</v>
      </c>
      <c r="N173" s="19">
        <v>46328</v>
      </c>
      <c r="O173" s="17" t="s">
        <v>830</v>
      </c>
    </row>
    <row r="174" spans="1:15" x14ac:dyDescent="0.25">
      <c r="A174" s="17" t="s">
        <v>689</v>
      </c>
      <c r="B174" s="17" t="s">
        <v>69</v>
      </c>
      <c r="C174" s="17" t="s">
        <v>70</v>
      </c>
      <c r="D174" s="17"/>
      <c r="E174" s="17" t="s">
        <v>690</v>
      </c>
      <c r="F174" s="17"/>
      <c r="G174" s="17"/>
      <c r="H174" s="17" t="s">
        <v>691</v>
      </c>
      <c r="I174" s="17" t="s">
        <v>828</v>
      </c>
      <c r="J174" s="17" t="s">
        <v>1062</v>
      </c>
      <c r="K174" s="18">
        <v>1.8</v>
      </c>
      <c r="L174" s="17" t="s">
        <v>74</v>
      </c>
      <c r="M174" s="19">
        <v>45632</v>
      </c>
      <c r="N174" s="19">
        <v>46348</v>
      </c>
      <c r="O174" s="17" t="s">
        <v>830</v>
      </c>
    </row>
    <row r="175" spans="1:15" x14ac:dyDescent="0.25">
      <c r="A175" s="17" t="s">
        <v>1063</v>
      </c>
      <c r="B175" s="17" t="s">
        <v>69</v>
      </c>
      <c r="C175" s="17" t="s">
        <v>70</v>
      </c>
      <c r="D175" s="17"/>
      <c r="E175" s="17" t="s">
        <v>1064</v>
      </c>
      <c r="F175" s="17"/>
      <c r="G175" s="17"/>
      <c r="H175" s="17" t="s">
        <v>1065</v>
      </c>
      <c r="I175" s="17" t="s">
        <v>828</v>
      </c>
      <c r="J175" s="17" t="s">
        <v>1066</v>
      </c>
      <c r="K175" s="18">
        <v>56.55</v>
      </c>
      <c r="L175" s="17" t="s">
        <v>74</v>
      </c>
      <c r="M175" s="19">
        <v>45703</v>
      </c>
      <c r="N175" s="19">
        <v>46416</v>
      </c>
      <c r="O175" s="17" t="s">
        <v>830</v>
      </c>
    </row>
    <row r="176" spans="1:15" x14ac:dyDescent="0.25">
      <c r="A176" s="17" t="s">
        <v>1067</v>
      </c>
      <c r="B176" s="17" t="s">
        <v>69</v>
      </c>
      <c r="C176" s="17" t="s">
        <v>70</v>
      </c>
      <c r="D176" s="17" t="s">
        <v>1146</v>
      </c>
      <c r="E176" s="17" t="s">
        <v>1068</v>
      </c>
      <c r="F176" s="17"/>
      <c r="G176" s="17"/>
      <c r="H176" s="17" t="s">
        <v>1069</v>
      </c>
      <c r="I176" s="17" t="s">
        <v>828</v>
      </c>
      <c r="J176" s="17" t="s">
        <v>1070</v>
      </c>
      <c r="K176" s="18">
        <v>0.3</v>
      </c>
      <c r="L176" s="17" t="s">
        <v>74</v>
      </c>
      <c r="M176" s="19">
        <v>45579</v>
      </c>
      <c r="N176" s="19">
        <v>46279</v>
      </c>
      <c r="O176" s="17" t="s">
        <v>830</v>
      </c>
    </row>
    <row r="177" spans="1:15" x14ac:dyDescent="0.25">
      <c r="A177" s="17" t="s">
        <v>492</v>
      </c>
      <c r="B177" s="17" t="s">
        <v>69</v>
      </c>
      <c r="C177" s="17" t="s">
        <v>70</v>
      </c>
      <c r="D177" s="17"/>
      <c r="E177" s="17" t="s">
        <v>493</v>
      </c>
      <c r="F177" s="17"/>
      <c r="G177" s="17"/>
      <c r="H177" s="17" t="s">
        <v>494</v>
      </c>
      <c r="I177" s="17" t="s">
        <v>828</v>
      </c>
      <c r="J177" s="17" t="s">
        <v>1071</v>
      </c>
      <c r="K177" s="18">
        <v>0.72</v>
      </c>
      <c r="L177" s="17" t="s">
        <v>74</v>
      </c>
      <c r="M177" s="19">
        <v>45561</v>
      </c>
      <c r="N177" s="19">
        <v>46266</v>
      </c>
      <c r="O177" s="17" t="s">
        <v>830</v>
      </c>
    </row>
    <row r="178" spans="1:15" x14ac:dyDescent="0.25">
      <c r="A178" s="17" t="s">
        <v>686</v>
      </c>
      <c r="B178" s="17" t="s">
        <v>69</v>
      </c>
      <c r="C178" s="17" t="s">
        <v>70</v>
      </c>
      <c r="D178" s="17"/>
      <c r="E178" s="17" t="s">
        <v>687</v>
      </c>
      <c r="F178" s="17"/>
      <c r="G178" s="17"/>
      <c r="H178" s="17" t="s">
        <v>688</v>
      </c>
      <c r="I178" s="17" t="s">
        <v>828</v>
      </c>
      <c r="J178" s="17" t="s">
        <v>1072</v>
      </c>
      <c r="K178" s="18">
        <v>2.7</v>
      </c>
      <c r="L178" s="17" t="s">
        <v>74</v>
      </c>
      <c r="M178" s="19">
        <v>45639</v>
      </c>
      <c r="N178" s="19">
        <v>46348</v>
      </c>
      <c r="O178" s="17" t="s">
        <v>830</v>
      </c>
    </row>
    <row r="179" spans="1:15" x14ac:dyDescent="0.25">
      <c r="A179" s="17" t="s">
        <v>1073</v>
      </c>
      <c r="B179" s="17" t="s">
        <v>69</v>
      </c>
      <c r="C179" s="17" t="s">
        <v>70</v>
      </c>
      <c r="D179" s="17"/>
      <c r="E179" s="17" t="s">
        <v>1074</v>
      </c>
      <c r="F179" s="17"/>
      <c r="G179" s="17"/>
      <c r="H179" s="17" t="s">
        <v>1075</v>
      </c>
      <c r="I179" s="17" t="s">
        <v>828</v>
      </c>
      <c r="J179" s="17" t="s">
        <v>1076</v>
      </c>
      <c r="K179" s="18">
        <v>6.6</v>
      </c>
      <c r="L179" s="17" t="s">
        <v>74</v>
      </c>
      <c r="M179" s="19">
        <v>45755</v>
      </c>
      <c r="N179" s="19">
        <v>46471</v>
      </c>
      <c r="O179" s="17" t="s">
        <v>830</v>
      </c>
    </row>
    <row r="180" spans="1:15" x14ac:dyDescent="0.25">
      <c r="A180" s="17" t="s">
        <v>692</v>
      </c>
      <c r="B180" s="17" t="s">
        <v>69</v>
      </c>
      <c r="C180" s="17" t="s">
        <v>70</v>
      </c>
      <c r="D180" s="17"/>
      <c r="E180" s="17" t="s">
        <v>693</v>
      </c>
      <c r="F180" s="17"/>
      <c r="G180" s="17"/>
      <c r="H180" s="17" t="s">
        <v>694</v>
      </c>
      <c r="I180" s="17" t="s">
        <v>828</v>
      </c>
      <c r="J180" s="17" t="s">
        <v>1077</v>
      </c>
      <c r="K180" s="18">
        <v>30.6</v>
      </c>
      <c r="L180" s="17" t="s">
        <v>74</v>
      </c>
      <c r="M180" s="19">
        <v>45687</v>
      </c>
      <c r="N180" s="19">
        <v>46401</v>
      </c>
      <c r="O180" s="17" t="s">
        <v>830</v>
      </c>
    </row>
    <row r="181" spans="1:15" x14ac:dyDescent="0.25">
      <c r="A181" s="17" t="s">
        <v>1078</v>
      </c>
      <c r="B181" s="17" t="s">
        <v>69</v>
      </c>
      <c r="C181" s="17" t="s">
        <v>70</v>
      </c>
      <c r="D181" s="17"/>
      <c r="E181" s="17" t="s">
        <v>1079</v>
      </c>
      <c r="F181" s="17"/>
      <c r="G181" s="17"/>
      <c r="H181" s="17" t="s">
        <v>1080</v>
      </c>
      <c r="I181" s="17" t="s">
        <v>828</v>
      </c>
      <c r="J181" s="17" t="s">
        <v>1081</v>
      </c>
      <c r="K181" s="18">
        <v>1.35</v>
      </c>
      <c r="L181" s="17" t="s">
        <v>74</v>
      </c>
      <c r="M181" s="19">
        <v>45518</v>
      </c>
      <c r="N181" s="19">
        <v>46211</v>
      </c>
      <c r="O181" s="17" t="s">
        <v>830</v>
      </c>
    </row>
    <row r="182" spans="1:15" x14ac:dyDescent="0.25">
      <c r="A182" s="17" t="s">
        <v>1082</v>
      </c>
      <c r="B182" s="17" t="s">
        <v>69</v>
      </c>
      <c r="C182" s="17" t="s">
        <v>70</v>
      </c>
      <c r="D182" s="17"/>
      <c r="E182" s="17" t="s">
        <v>1083</v>
      </c>
      <c r="F182" s="17"/>
      <c r="G182" s="17"/>
      <c r="H182" s="17" t="s">
        <v>1084</v>
      </c>
      <c r="I182" s="17" t="s">
        <v>828</v>
      </c>
      <c r="J182" s="17" t="s">
        <v>1085</v>
      </c>
      <c r="K182" s="18">
        <v>78.900000000000006</v>
      </c>
      <c r="L182" s="17" t="s">
        <v>74</v>
      </c>
      <c r="M182" s="19">
        <v>45660</v>
      </c>
      <c r="N182" s="19">
        <v>46315</v>
      </c>
      <c r="O182" s="17" t="s">
        <v>830</v>
      </c>
    </row>
    <row r="183" spans="1:15" x14ac:dyDescent="0.25">
      <c r="A183" s="17" t="s">
        <v>486</v>
      </c>
      <c r="B183" s="17" t="s">
        <v>69</v>
      </c>
      <c r="C183" s="17" t="s">
        <v>70</v>
      </c>
      <c r="D183" s="17"/>
      <c r="E183" s="17" t="s">
        <v>490</v>
      </c>
      <c r="F183" s="17"/>
      <c r="G183" s="17"/>
      <c r="H183" s="17" t="s">
        <v>488</v>
      </c>
      <c r="I183" s="17" t="s">
        <v>828</v>
      </c>
      <c r="J183" s="17" t="s">
        <v>1086</v>
      </c>
      <c r="K183" s="18">
        <v>66.45</v>
      </c>
      <c r="L183" s="17" t="s">
        <v>74</v>
      </c>
      <c r="M183" s="19">
        <v>45941</v>
      </c>
      <c r="N183" s="19">
        <v>46657</v>
      </c>
      <c r="O183" s="17" t="s">
        <v>830</v>
      </c>
    </row>
    <row r="184" spans="1:15" x14ac:dyDescent="0.25">
      <c r="A184" s="17" t="s">
        <v>695</v>
      </c>
      <c r="B184" s="17" t="s">
        <v>69</v>
      </c>
      <c r="C184" s="17" t="s">
        <v>70</v>
      </c>
      <c r="D184" s="17"/>
      <c r="E184" s="17" t="s">
        <v>696</v>
      </c>
      <c r="F184" s="17"/>
      <c r="G184" s="17"/>
      <c r="H184" s="17" t="s">
        <v>697</v>
      </c>
      <c r="I184" s="17" t="s">
        <v>828</v>
      </c>
      <c r="J184" s="17" t="s">
        <v>1087</v>
      </c>
      <c r="K184" s="18">
        <v>33.6</v>
      </c>
      <c r="L184" s="17" t="s">
        <v>74</v>
      </c>
      <c r="M184" s="19">
        <v>45821</v>
      </c>
      <c r="N184" s="19">
        <v>46525</v>
      </c>
      <c r="O184" s="17" t="s">
        <v>830</v>
      </c>
    </row>
    <row r="185" spans="1:15" x14ac:dyDescent="0.25">
      <c r="A185" s="17" t="s">
        <v>555</v>
      </c>
      <c r="B185" s="17" t="s">
        <v>69</v>
      </c>
      <c r="C185" s="17" t="s">
        <v>70</v>
      </c>
      <c r="D185" s="17"/>
      <c r="E185" s="17" t="s">
        <v>556</v>
      </c>
      <c r="F185" s="17"/>
      <c r="G185" s="17"/>
      <c r="H185" s="17" t="s">
        <v>557</v>
      </c>
      <c r="I185" s="17" t="s">
        <v>828</v>
      </c>
      <c r="J185" s="17" t="s">
        <v>1088</v>
      </c>
      <c r="K185" s="18">
        <v>21.45</v>
      </c>
      <c r="L185" s="17" t="s">
        <v>74</v>
      </c>
      <c r="M185" s="19">
        <v>46050</v>
      </c>
      <c r="N185" s="19">
        <v>46663</v>
      </c>
      <c r="O185" s="17" t="s">
        <v>830</v>
      </c>
    </row>
    <row r="186" spans="1:15" x14ac:dyDescent="0.25">
      <c r="A186" s="17" t="s">
        <v>476</v>
      </c>
      <c r="B186" s="17" t="s">
        <v>69</v>
      </c>
      <c r="C186" s="17" t="s">
        <v>70</v>
      </c>
      <c r="D186" s="17"/>
      <c r="E186" s="17" t="s">
        <v>480</v>
      </c>
      <c r="F186" s="17"/>
      <c r="G186" s="17"/>
      <c r="H186" s="17" t="s">
        <v>478</v>
      </c>
      <c r="I186" s="17" t="s">
        <v>828</v>
      </c>
      <c r="J186" s="17" t="s">
        <v>1089</v>
      </c>
      <c r="K186" s="18">
        <v>56.25</v>
      </c>
      <c r="L186" s="17" t="s">
        <v>74</v>
      </c>
      <c r="M186" s="19">
        <v>45960</v>
      </c>
      <c r="N186" s="19">
        <v>46667</v>
      </c>
      <c r="O186" s="17" t="s">
        <v>830</v>
      </c>
    </row>
    <row r="187" spans="1:15" x14ac:dyDescent="0.25">
      <c r="A187" s="17" t="s">
        <v>361</v>
      </c>
      <c r="B187" s="17" t="s">
        <v>69</v>
      </c>
      <c r="C187" s="17" t="s">
        <v>70</v>
      </c>
      <c r="D187" s="17"/>
      <c r="E187" s="17" t="s">
        <v>362</v>
      </c>
      <c r="F187" s="17"/>
      <c r="G187" s="17"/>
      <c r="H187" s="17" t="s">
        <v>363</v>
      </c>
      <c r="I187" s="17" t="s">
        <v>828</v>
      </c>
      <c r="J187" s="17" t="s">
        <v>1090</v>
      </c>
      <c r="K187" s="18">
        <v>30.45</v>
      </c>
      <c r="L187" s="17" t="s">
        <v>74</v>
      </c>
      <c r="M187" s="19">
        <v>45979</v>
      </c>
      <c r="N187" s="19">
        <v>46686</v>
      </c>
      <c r="O187" s="17" t="s">
        <v>830</v>
      </c>
    </row>
    <row r="188" spans="1:15" x14ac:dyDescent="0.25">
      <c r="A188" s="17" t="s">
        <v>282</v>
      </c>
      <c r="B188" s="17" t="s">
        <v>69</v>
      </c>
      <c r="C188" s="17" t="s">
        <v>70</v>
      </c>
      <c r="D188" s="17"/>
      <c r="E188" s="17" t="s">
        <v>288</v>
      </c>
      <c r="F188" s="17"/>
      <c r="G188" s="17"/>
      <c r="H188" s="17" t="s">
        <v>284</v>
      </c>
      <c r="I188" s="17" t="s">
        <v>828</v>
      </c>
      <c r="J188" s="17" t="s">
        <v>1091</v>
      </c>
      <c r="K188" s="18">
        <v>33.299999999999997</v>
      </c>
      <c r="L188" s="17" t="s">
        <v>74</v>
      </c>
      <c r="M188" s="19">
        <v>45952</v>
      </c>
      <c r="N188" s="19">
        <v>46657</v>
      </c>
      <c r="O188" s="17" t="s">
        <v>830</v>
      </c>
    </row>
    <row r="189" spans="1:15" x14ac:dyDescent="0.25">
      <c r="A189" s="17" t="s">
        <v>698</v>
      </c>
      <c r="B189" s="17" t="s">
        <v>69</v>
      </c>
      <c r="C189" s="17" t="s">
        <v>70</v>
      </c>
      <c r="D189" s="17"/>
      <c r="E189" s="17" t="s">
        <v>704</v>
      </c>
      <c r="F189" s="17"/>
      <c r="G189" s="17"/>
      <c r="H189" s="17" t="s">
        <v>700</v>
      </c>
      <c r="I189" s="17" t="s">
        <v>828</v>
      </c>
      <c r="J189" s="17" t="s">
        <v>1092</v>
      </c>
      <c r="K189" s="18">
        <v>50.25</v>
      </c>
      <c r="L189" s="17" t="s">
        <v>74</v>
      </c>
      <c r="M189" s="19">
        <v>45938</v>
      </c>
      <c r="N189" s="19">
        <v>46649</v>
      </c>
      <c r="O189" s="17" t="s">
        <v>830</v>
      </c>
    </row>
    <row r="190" spans="1:15" x14ac:dyDescent="0.25">
      <c r="A190" s="17" t="s">
        <v>311</v>
      </c>
      <c r="B190" s="17" t="s">
        <v>69</v>
      </c>
      <c r="C190" s="17" t="s">
        <v>70</v>
      </c>
      <c r="D190" s="17"/>
      <c r="E190" s="17" t="s">
        <v>315</v>
      </c>
      <c r="F190" s="17"/>
      <c r="G190" s="17"/>
      <c r="H190" s="17" t="s">
        <v>313</v>
      </c>
      <c r="I190" s="17" t="s">
        <v>828</v>
      </c>
      <c r="J190" s="17" t="s">
        <v>1093</v>
      </c>
      <c r="K190" s="18">
        <v>20.55</v>
      </c>
      <c r="L190" s="17" t="s">
        <v>74</v>
      </c>
      <c r="M190" s="19">
        <v>45960</v>
      </c>
      <c r="N190" s="19">
        <v>46667</v>
      </c>
      <c r="O190" s="17" t="s">
        <v>830</v>
      </c>
    </row>
    <row r="191" spans="1:15" x14ac:dyDescent="0.25">
      <c r="A191" s="17" t="s">
        <v>317</v>
      </c>
      <c r="B191" s="17" t="s">
        <v>69</v>
      </c>
      <c r="C191" s="17" t="s">
        <v>70</v>
      </c>
      <c r="D191" s="17"/>
      <c r="E191" s="17" t="s">
        <v>323</v>
      </c>
      <c r="F191" s="17"/>
      <c r="G191" s="17"/>
      <c r="H191" s="17" t="s">
        <v>319</v>
      </c>
      <c r="I191" s="17" t="s">
        <v>828</v>
      </c>
      <c r="J191" s="17" t="s">
        <v>1094</v>
      </c>
      <c r="K191" s="18">
        <v>36.299999999999997</v>
      </c>
      <c r="L191" s="17" t="s">
        <v>74</v>
      </c>
      <c r="M191" s="19">
        <v>45838</v>
      </c>
      <c r="N191" s="19">
        <v>46551</v>
      </c>
      <c r="O191" s="17" t="s">
        <v>830</v>
      </c>
    </row>
    <row r="192" spans="1:15" x14ac:dyDescent="0.25">
      <c r="A192" s="17" t="s">
        <v>518</v>
      </c>
      <c r="B192" s="17" t="s">
        <v>69</v>
      </c>
      <c r="C192" s="17" t="s">
        <v>70</v>
      </c>
      <c r="D192" s="17"/>
      <c r="E192" s="17" t="s">
        <v>519</v>
      </c>
      <c r="F192" s="17"/>
      <c r="G192" s="17"/>
      <c r="H192" s="17" t="s">
        <v>520</v>
      </c>
      <c r="I192" s="17" t="s">
        <v>828</v>
      </c>
      <c r="J192" s="17" t="s">
        <v>1095</v>
      </c>
      <c r="K192" s="18">
        <v>56.25</v>
      </c>
      <c r="L192" s="17" t="s">
        <v>74</v>
      </c>
      <c r="M192" s="19">
        <v>45862</v>
      </c>
      <c r="N192" s="19">
        <v>46568</v>
      </c>
      <c r="O192" s="17" t="s">
        <v>830</v>
      </c>
    </row>
    <row r="193" spans="1:15" x14ac:dyDescent="0.25">
      <c r="A193" s="17" t="s">
        <v>588</v>
      </c>
      <c r="B193" s="17" t="s">
        <v>69</v>
      </c>
      <c r="C193" s="17" t="s">
        <v>70</v>
      </c>
      <c r="D193" s="17"/>
      <c r="E193" s="17" t="s">
        <v>593</v>
      </c>
      <c r="F193" s="17"/>
      <c r="G193" s="17"/>
      <c r="H193" s="17" t="s">
        <v>590</v>
      </c>
      <c r="I193" s="17" t="s">
        <v>828</v>
      </c>
      <c r="J193" s="17" t="s">
        <v>1096</v>
      </c>
      <c r="K193" s="18">
        <v>80.849999999999994</v>
      </c>
      <c r="L193" s="17" t="s">
        <v>74</v>
      </c>
      <c r="M193" s="19">
        <v>45955</v>
      </c>
      <c r="N193" s="19">
        <v>46663</v>
      </c>
      <c r="O193" s="17" t="s">
        <v>830</v>
      </c>
    </row>
    <row r="194" spans="1:15" x14ac:dyDescent="0.25">
      <c r="A194" s="17" t="s">
        <v>330</v>
      </c>
      <c r="B194" s="17" t="s">
        <v>69</v>
      </c>
      <c r="C194" s="17" t="s">
        <v>70</v>
      </c>
      <c r="D194" s="17"/>
      <c r="E194" s="17" t="s">
        <v>331</v>
      </c>
      <c r="F194" s="17"/>
      <c r="G194" s="17"/>
      <c r="H194" s="17" t="s">
        <v>332</v>
      </c>
      <c r="I194" s="17" t="s">
        <v>828</v>
      </c>
      <c r="J194" s="17" t="s">
        <v>1097</v>
      </c>
      <c r="K194" s="18">
        <v>0.6</v>
      </c>
      <c r="L194" s="17" t="s">
        <v>74</v>
      </c>
      <c r="M194" s="19">
        <v>45957</v>
      </c>
      <c r="N194" s="19">
        <v>46667</v>
      </c>
      <c r="O194" s="17" t="s">
        <v>830</v>
      </c>
    </row>
    <row r="195" spans="1:15" x14ac:dyDescent="0.25">
      <c r="A195" s="17" t="s">
        <v>330</v>
      </c>
      <c r="B195" s="17" t="s">
        <v>69</v>
      </c>
      <c r="C195" s="17" t="s">
        <v>70</v>
      </c>
      <c r="D195" s="17"/>
      <c r="E195" s="17" t="s">
        <v>333</v>
      </c>
      <c r="F195" s="17"/>
      <c r="G195" s="17"/>
      <c r="H195" s="17" t="s">
        <v>332</v>
      </c>
      <c r="I195" s="17" t="s">
        <v>828</v>
      </c>
      <c r="J195" s="17" t="s">
        <v>1097</v>
      </c>
      <c r="K195" s="18">
        <v>72</v>
      </c>
      <c r="L195" s="17" t="s">
        <v>74</v>
      </c>
      <c r="M195" s="19">
        <v>45987</v>
      </c>
      <c r="N195" s="19">
        <v>46694</v>
      </c>
      <c r="O195" s="17" t="s">
        <v>830</v>
      </c>
    </row>
    <row r="196" spans="1:15" x14ac:dyDescent="0.25">
      <c r="A196" s="17" t="s">
        <v>423</v>
      </c>
      <c r="B196" s="17" t="s">
        <v>69</v>
      </c>
      <c r="C196" s="17" t="s">
        <v>70</v>
      </c>
      <c r="D196" s="17"/>
      <c r="E196" s="17" t="s">
        <v>428</v>
      </c>
      <c r="F196" s="17"/>
      <c r="G196" s="17"/>
      <c r="H196" s="17" t="s">
        <v>425</v>
      </c>
      <c r="I196" s="17" t="s">
        <v>828</v>
      </c>
      <c r="J196" s="17" t="s">
        <v>1098</v>
      </c>
      <c r="K196" s="18">
        <v>61.05</v>
      </c>
      <c r="L196" s="17" t="s">
        <v>74</v>
      </c>
      <c r="M196" s="19">
        <v>45856</v>
      </c>
      <c r="N196" s="19">
        <v>46561</v>
      </c>
      <c r="O196" s="17" t="s">
        <v>830</v>
      </c>
    </row>
    <row r="197" spans="1:15" x14ac:dyDescent="0.25">
      <c r="A197" s="17" t="s">
        <v>507</v>
      </c>
      <c r="B197" s="17" t="s">
        <v>69</v>
      </c>
      <c r="C197" s="17" t="s">
        <v>70</v>
      </c>
      <c r="D197" s="17"/>
      <c r="E197" s="17" t="s">
        <v>512</v>
      </c>
      <c r="F197" s="17"/>
      <c r="G197" s="17"/>
      <c r="H197" s="17" t="s">
        <v>509</v>
      </c>
      <c r="I197" s="17" t="s">
        <v>828</v>
      </c>
      <c r="J197" s="17" t="s">
        <v>1099</v>
      </c>
      <c r="K197" s="18">
        <v>39.299999999999997</v>
      </c>
      <c r="L197" s="17" t="s">
        <v>74</v>
      </c>
      <c r="M197" s="19">
        <v>45941</v>
      </c>
      <c r="N197" s="19">
        <v>46649</v>
      </c>
      <c r="O197" s="17" t="s">
        <v>830</v>
      </c>
    </row>
    <row r="198" spans="1:15" x14ac:dyDescent="0.25">
      <c r="A198" s="17" t="s">
        <v>537</v>
      </c>
      <c r="B198" s="17" t="s">
        <v>69</v>
      </c>
      <c r="C198" s="17" t="s">
        <v>70</v>
      </c>
      <c r="D198" s="17"/>
      <c r="E198" s="17" t="s">
        <v>540</v>
      </c>
      <c r="F198" s="17"/>
      <c r="G198" s="17"/>
      <c r="H198" s="17" t="s">
        <v>539</v>
      </c>
      <c r="I198" s="17" t="s">
        <v>828</v>
      </c>
      <c r="J198" s="17" t="s">
        <v>1100</v>
      </c>
      <c r="K198" s="18">
        <v>31.5</v>
      </c>
      <c r="L198" s="17" t="s">
        <v>74</v>
      </c>
      <c r="M198" s="19">
        <v>46017</v>
      </c>
      <c r="N198" s="19">
        <v>46715</v>
      </c>
      <c r="O198" s="17" t="s">
        <v>830</v>
      </c>
    </row>
    <row r="199" spans="1:15" x14ac:dyDescent="0.25">
      <c r="A199" s="17" t="s">
        <v>706</v>
      </c>
      <c r="B199" s="17" t="s">
        <v>69</v>
      </c>
      <c r="C199" s="17" t="s">
        <v>70</v>
      </c>
      <c r="D199" s="17"/>
      <c r="E199" s="17" t="s">
        <v>707</v>
      </c>
      <c r="F199" s="17"/>
      <c r="G199" s="17"/>
      <c r="H199" s="17" t="s">
        <v>708</v>
      </c>
      <c r="I199" s="17" t="s">
        <v>828</v>
      </c>
      <c r="J199" s="17" t="s">
        <v>1101</v>
      </c>
      <c r="K199" s="18">
        <v>101.1</v>
      </c>
      <c r="L199" s="17" t="s">
        <v>74</v>
      </c>
      <c r="M199" s="19">
        <v>45996</v>
      </c>
      <c r="N199" s="19">
        <v>46712</v>
      </c>
      <c r="O199" s="17" t="s">
        <v>830</v>
      </c>
    </row>
    <row r="200" spans="1:15" x14ac:dyDescent="0.25">
      <c r="A200" s="17" t="s">
        <v>375</v>
      </c>
      <c r="B200" s="17" t="s">
        <v>69</v>
      </c>
      <c r="C200" s="17" t="s">
        <v>70</v>
      </c>
      <c r="D200" s="17"/>
      <c r="E200" s="17" t="s">
        <v>377</v>
      </c>
      <c r="F200" s="17"/>
      <c r="G200" s="17"/>
      <c r="H200" s="17" t="s">
        <v>376</v>
      </c>
      <c r="I200" s="17" t="s">
        <v>828</v>
      </c>
      <c r="J200" s="17" t="s">
        <v>1102</v>
      </c>
      <c r="K200" s="18">
        <v>66.3</v>
      </c>
      <c r="L200" s="17" t="s">
        <v>74</v>
      </c>
      <c r="M200" s="19">
        <v>45996</v>
      </c>
      <c r="N200" s="19">
        <v>46712</v>
      </c>
      <c r="O200" s="17" t="s">
        <v>830</v>
      </c>
    </row>
    <row r="201" spans="1:15" x14ac:dyDescent="0.25">
      <c r="A201" s="17" t="s">
        <v>551</v>
      </c>
      <c r="B201" s="17" t="s">
        <v>69</v>
      </c>
      <c r="C201" s="17" t="s">
        <v>70</v>
      </c>
      <c r="D201" s="17"/>
      <c r="E201" s="17" t="s">
        <v>552</v>
      </c>
      <c r="F201" s="17"/>
      <c r="G201" s="17"/>
      <c r="H201" s="17" t="s">
        <v>553</v>
      </c>
      <c r="I201" s="17" t="s">
        <v>828</v>
      </c>
      <c r="J201" s="17" t="s">
        <v>1103</v>
      </c>
      <c r="K201" s="18">
        <v>7.65</v>
      </c>
      <c r="L201" s="17" t="s">
        <v>74</v>
      </c>
      <c r="M201" s="19">
        <v>45978</v>
      </c>
      <c r="N201" s="19">
        <v>46686</v>
      </c>
      <c r="O201" s="17" t="s">
        <v>830</v>
      </c>
    </row>
    <row r="202" spans="1:15" x14ac:dyDescent="0.25">
      <c r="A202" s="17" t="s">
        <v>551</v>
      </c>
      <c r="B202" s="17" t="s">
        <v>69</v>
      </c>
      <c r="C202" s="17" t="s">
        <v>70</v>
      </c>
      <c r="D202" s="17"/>
      <c r="E202" s="17" t="s">
        <v>554</v>
      </c>
      <c r="F202" s="17"/>
      <c r="G202" s="17"/>
      <c r="H202" s="17" t="s">
        <v>553</v>
      </c>
      <c r="I202" s="17" t="s">
        <v>828</v>
      </c>
      <c r="J202" s="17" t="s">
        <v>1103</v>
      </c>
      <c r="K202" s="18">
        <v>84.6</v>
      </c>
      <c r="L202" s="17" t="s">
        <v>74</v>
      </c>
      <c r="M202" s="19">
        <v>46017</v>
      </c>
      <c r="N202" s="19">
        <v>46720</v>
      </c>
      <c r="O202" s="17" t="s">
        <v>830</v>
      </c>
    </row>
    <row r="203" spans="1:15" x14ac:dyDescent="0.25">
      <c r="A203" s="17" t="s">
        <v>45</v>
      </c>
      <c r="B203" s="17" t="s">
        <v>69</v>
      </c>
      <c r="C203" s="17" t="s">
        <v>70</v>
      </c>
      <c r="D203" s="17"/>
      <c r="E203" s="17" t="s">
        <v>392</v>
      </c>
      <c r="F203" s="17"/>
      <c r="G203" s="17"/>
      <c r="H203" s="17" t="s">
        <v>47</v>
      </c>
      <c r="I203" s="17" t="s">
        <v>828</v>
      </c>
      <c r="J203" s="17" t="s">
        <v>46</v>
      </c>
      <c r="K203" s="18">
        <v>55.65</v>
      </c>
      <c r="L203" s="17" t="s">
        <v>74</v>
      </c>
      <c r="M203" s="19">
        <v>46000</v>
      </c>
      <c r="N203" s="19">
        <v>46712</v>
      </c>
      <c r="O203" s="17" t="s">
        <v>830</v>
      </c>
    </row>
    <row r="204" spans="1:15" x14ac:dyDescent="0.25">
      <c r="A204" s="17" t="s">
        <v>571</v>
      </c>
      <c r="B204" s="17" t="s">
        <v>69</v>
      </c>
      <c r="C204" s="17" t="s">
        <v>70</v>
      </c>
      <c r="D204" s="17"/>
      <c r="E204" s="17" t="s">
        <v>574</v>
      </c>
      <c r="F204" s="17"/>
      <c r="G204" s="17"/>
      <c r="H204" s="17" t="s">
        <v>573</v>
      </c>
      <c r="I204" s="17" t="s">
        <v>828</v>
      </c>
      <c r="J204" s="17" t="s">
        <v>1104</v>
      </c>
      <c r="K204" s="18">
        <v>65.849999999999994</v>
      </c>
      <c r="L204" s="17" t="s">
        <v>74</v>
      </c>
      <c r="M204" s="19">
        <v>46009</v>
      </c>
      <c r="N204" s="19">
        <v>46720</v>
      </c>
      <c r="O204" s="17" t="s">
        <v>830</v>
      </c>
    </row>
    <row r="205" spans="1:15" x14ac:dyDescent="0.25">
      <c r="A205" s="17" t="s">
        <v>365</v>
      </c>
      <c r="B205" s="17" t="s">
        <v>69</v>
      </c>
      <c r="C205" s="17" t="s">
        <v>70</v>
      </c>
      <c r="D205" s="17"/>
      <c r="E205" s="17" t="s">
        <v>366</v>
      </c>
      <c r="F205" s="17"/>
      <c r="G205" s="17"/>
      <c r="H205" s="17" t="s">
        <v>367</v>
      </c>
      <c r="I205" s="17" t="s">
        <v>828</v>
      </c>
      <c r="J205" s="17" t="s">
        <v>1105</v>
      </c>
      <c r="K205" s="18">
        <v>33.9</v>
      </c>
      <c r="L205" s="17" t="s">
        <v>74</v>
      </c>
      <c r="M205" s="19">
        <v>46006</v>
      </c>
      <c r="N205" s="19">
        <v>46715</v>
      </c>
      <c r="O205" s="17" t="s">
        <v>830</v>
      </c>
    </row>
    <row r="206" spans="1:15" x14ac:dyDescent="0.25">
      <c r="A206" s="17" t="s">
        <v>49</v>
      </c>
      <c r="B206" s="17" t="s">
        <v>69</v>
      </c>
      <c r="C206" s="17" t="s">
        <v>70</v>
      </c>
      <c r="D206" s="17"/>
      <c r="E206" s="17" t="s">
        <v>612</v>
      </c>
      <c r="F206" s="17"/>
      <c r="G206" s="17"/>
      <c r="H206" s="17" t="s">
        <v>44</v>
      </c>
      <c r="I206" s="17" t="s">
        <v>828</v>
      </c>
      <c r="J206" s="17" t="s">
        <v>48</v>
      </c>
      <c r="K206" s="18">
        <v>137.55000000000001</v>
      </c>
      <c r="L206" s="17" t="s">
        <v>74</v>
      </c>
      <c r="M206" s="19">
        <v>46008</v>
      </c>
      <c r="N206" s="19">
        <v>46720</v>
      </c>
      <c r="O206" s="17" t="s">
        <v>830</v>
      </c>
    </row>
    <row r="207" spans="1:15" x14ac:dyDescent="0.25">
      <c r="A207" s="17" t="s">
        <v>468</v>
      </c>
      <c r="B207" s="17" t="s">
        <v>69</v>
      </c>
      <c r="C207" s="17" t="s">
        <v>70</v>
      </c>
      <c r="D207" s="17"/>
      <c r="E207" s="17" t="s">
        <v>472</v>
      </c>
      <c r="F207" s="17"/>
      <c r="G207" s="17"/>
      <c r="H207" s="17" t="s">
        <v>470</v>
      </c>
      <c r="I207" s="17" t="s">
        <v>828</v>
      </c>
      <c r="J207" s="17" t="s">
        <v>1106</v>
      </c>
      <c r="K207" s="18">
        <v>60</v>
      </c>
      <c r="L207" s="17" t="s">
        <v>74</v>
      </c>
      <c r="M207" s="19">
        <v>46010</v>
      </c>
      <c r="N207" s="19">
        <v>46715</v>
      </c>
      <c r="O207" s="17" t="s">
        <v>830</v>
      </c>
    </row>
    <row r="208" spans="1:15" x14ac:dyDescent="0.25">
      <c r="A208" s="17" t="s">
        <v>649</v>
      </c>
      <c r="B208" s="17" t="s">
        <v>69</v>
      </c>
      <c r="C208" s="17" t="s">
        <v>70</v>
      </c>
      <c r="D208" s="17"/>
      <c r="E208" s="17" t="s">
        <v>650</v>
      </c>
      <c r="F208" s="17"/>
      <c r="G208" s="17"/>
      <c r="H208" s="17" t="s">
        <v>651</v>
      </c>
      <c r="I208" s="17" t="s">
        <v>828</v>
      </c>
      <c r="J208" s="17" t="s">
        <v>1107</v>
      </c>
      <c r="K208" s="18">
        <v>94.05</v>
      </c>
      <c r="L208" s="17" t="s">
        <v>74</v>
      </c>
      <c r="M208" s="19">
        <v>45999</v>
      </c>
      <c r="N208" s="19">
        <v>46667</v>
      </c>
      <c r="O208" s="17" t="s">
        <v>830</v>
      </c>
    </row>
    <row r="209" spans="1:15" x14ac:dyDescent="0.25">
      <c r="A209" s="17" t="s">
        <v>744</v>
      </c>
      <c r="B209" s="17" t="s">
        <v>69</v>
      </c>
      <c r="C209" s="17" t="s">
        <v>70</v>
      </c>
      <c r="D209" s="17"/>
      <c r="E209" s="17" t="s">
        <v>745</v>
      </c>
      <c r="F209" s="17"/>
      <c r="G209" s="17"/>
      <c r="H209" s="17" t="s">
        <v>746</v>
      </c>
      <c r="I209" s="17" t="s">
        <v>828</v>
      </c>
      <c r="J209" s="17" t="s">
        <v>1108</v>
      </c>
      <c r="K209" s="18">
        <v>86.04</v>
      </c>
      <c r="L209" s="17" t="s">
        <v>74</v>
      </c>
      <c r="M209" s="19">
        <v>46006</v>
      </c>
      <c r="N209" s="19">
        <v>46714</v>
      </c>
      <c r="O209" s="17" t="s">
        <v>830</v>
      </c>
    </row>
    <row r="210" spans="1:15" x14ac:dyDescent="0.25">
      <c r="A210" s="17" t="s">
        <v>782</v>
      </c>
      <c r="B210" s="17" t="s">
        <v>69</v>
      </c>
      <c r="C210" s="17" t="s">
        <v>70</v>
      </c>
      <c r="D210" s="17"/>
      <c r="E210" s="17" t="s">
        <v>1109</v>
      </c>
      <c r="F210" s="17"/>
      <c r="G210" s="17"/>
      <c r="H210" s="17" t="s">
        <v>784</v>
      </c>
      <c r="I210" s="17" t="s">
        <v>828</v>
      </c>
      <c r="J210" s="17" t="s">
        <v>1110</v>
      </c>
      <c r="K210" s="18">
        <v>0.36</v>
      </c>
      <c r="L210" s="17" t="s">
        <v>74</v>
      </c>
      <c r="M210" s="19">
        <v>45996</v>
      </c>
      <c r="N210" s="19">
        <v>46712</v>
      </c>
      <c r="O210" s="17" t="s">
        <v>830</v>
      </c>
    </row>
    <row r="211" spans="1:15" x14ac:dyDescent="0.25">
      <c r="A211" s="17" t="s">
        <v>782</v>
      </c>
      <c r="B211" s="17" t="s">
        <v>69</v>
      </c>
      <c r="C211" s="17" t="s">
        <v>70</v>
      </c>
      <c r="D211" s="17"/>
      <c r="E211" s="17" t="s">
        <v>783</v>
      </c>
      <c r="F211" s="17"/>
      <c r="G211" s="17"/>
      <c r="H211" s="17" t="s">
        <v>784</v>
      </c>
      <c r="I211" s="17" t="s">
        <v>828</v>
      </c>
      <c r="J211" s="17" t="s">
        <v>1110</v>
      </c>
      <c r="K211" s="18">
        <v>45.72</v>
      </c>
      <c r="L211" s="17" t="s">
        <v>74</v>
      </c>
      <c r="M211" s="19">
        <v>46035</v>
      </c>
      <c r="N211" s="19">
        <v>46749</v>
      </c>
      <c r="O211" s="17" t="s">
        <v>830</v>
      </c>
    </row>
    <row r="212" spans="1:15" x14ac:dyDescent="0.25">
      <c r="A212" s="17" t="s">
        <v>788</v>
      </c>
      <c r="B212" s="17" t="s">
        <v>69</v>
      </c>
      <c r="C212" s="17" t="s">
        <v>70</v>
      </c>
      <c r="D212" s="17"/>
      <c r="E212" s="17" t="s">
        <v>1200</v>
      </c>
      <c r="F212" s="17"/>
      <c r="G212" s="17"/>
      <c r="H212" s="17" t="s">
        <v>790</v>
      </c>
      <c r="I212" s="17" t="s">
        <v>828</v>
      </c>
      <c r="J212" s="17" t="s">
        <v>1111</v>
      </c>
      <c r="K212" s="18">
        <v>3.24</v>
      </c>
      <c r="L212" s="17" t="s">
        <v>74</v>
      </c>
      <c r="M212" s="19">
        <v>46062</v>
      </c>
      <c r="N212" s="19">
        <v>46635</v>
      </c>
      <c r="O212" s="17" t="s">
        <v>830</v>
      </c>
    </row>
    <row r="213" spans="1:15" x14ac:dyDescent="0.25">
      <c r="A213" s="17" t="s">
        <v>788</v>
      </c>
      <c r="B213" s="17" t="s">
        <v>69</v>
      </c>
      <c r="C213" s="17" t="s">
        <v>70</v>
      </c>
      <c r="D213" s="17"/>
      <c r="E213" s="17" t="s">
        <v>792</v>
      </c>
      <c r="F213" s="17"/>
      <c r="G213" s="17"/>
      <c r="H213" s="17" t="s">
        <v>790</v>
      </c>
      <c r="I213" s="17" t="s">
        <v>828</v>
      </c>
      <c r="J213" s="17" t="s">
        <v>1111</v>
      </c>
      <c r="K213" s="18">
        <v>13.32</v>
      </c>
      <c r="L213" s="17" t="s">
        <v>74</v>
      </c>
      <c r="M213" s="19">
        <v>46000</v>
      </c>
      <c r="N213" s="19">
        <v>46714</v>
      </c>
      <c r="O213" s="17" t="s">
        <v>830</v>
      </c>
    </row>
    <row r="214" spans="1:15" x14ac:dyDescent="0.25">
      <c r="A214" s="17" t="s">
        <v>1112</v>
      </c>
      <c r="B214" s="17" t="s">
        <v>69</v>
      </c>
      <c r="C214" s="17" t="s">
        <v>70</v>
      </c>
      <c r="D214" s="17"/>
      <c r="E214" s="17" t="s">
        <v>1116</v>
      </c>
      <c r="F214" s="17"/>
      <c r="G214" s="17"/>
      <c r="H214" s="17" t="s">
        <v>1114</v>
      </c>
      <c r="I214" s="17" t="s">
        <v>828</v>
      </c>
      <c r="J214" s="17" t="s">
        <v>1115</v>
      </c>
      <c r="K214" s="18">
        <v>0.36</v>
      </c>
      <c r="L214" s="17" t="s">
        <v>74</v>
      </c>
      <c r="M214" s="19">
        <v>45975</v>
      </c>
      <c r="N214" s="19">
        <v>46680</v>
      </c>
      <c r="O214" s="17" t="s">
        <v>830</v>
      </c>
    </row>
    <row r="215" spans="1:15" x14ac:dyDescent="0.25">
      <c r="A215" s="17" t="s">
        <v>1112</v>
      </c>
      <c r="B215" s="17" t="s">
        <v>69</v>
      </c>
      <c r="C215" s="17" t="s">
        <v>70</v>
      </c>
      <c r="D215" s="17"/>
      <c r="E215" s="17" t="s">
        <v>1113</v>
      </c>
      <c r="F215" s="17"/>
      <c r="G215" s="17"/>
      <c r="H215" s="17" t="s">
        <v>1114</v>
      </c>
      <c r="I215" s="17" t="s">
        <v>828</v>
      </c>
      <c r="J215" s="17" t="s">
        <v>1115</v>
      </c>
      <c r="K215" s="18">
        <v>38.159999999999997</v>
      </c>
      <c r="L215" s="17" t="s">
        <v>74</v>
      </c>
      <c r="M215" s="19">
        <v>45980</v>
      </c>
      <c r="N215" s="19">
        <v>46693</v>
      </c>
      <c r="O215" s="17" t="s">
        <v>830</v>
      </c>
    </row>
    <row r="216" spans="1:15" x14ac:dyDescent="0.25">
      <c r="A216" s="17" t="s">
        <v>765</v>
      </c>
      <c r="B216" s="17" t="s">
        <v>69</v>
      </c>
      <c r="C216" s="17" t="s">
        <v>70</v>
      </c>
      <c r="D216" s="17"/>
      <c r="E216" s="17" t="s">
        <v>1117</v>
      </c>
      <c r="F216" s="17"/>
      <c r="G216" s="17"/>
      <c r="H216" s="17" t="s">
        <v>767</v>
      </c>
      <c r="I216" s="17" t="s">
        <v>828</v>
      </c>
      <c r="J216" s="17" t="s">
        <v>1118</v>
      </c>
      <c r="K216" s="18">
        <v>19.8</v>
      </c>
      <c r="L216" s="17" t="s">
        <v>74</v>
      </c>
      <c r="M216" s="19">
        <v>46008</v>
      </c>
      <c r="N216" s="19">
        <v>46720</v>
      </c>
      <c r="O216" s="17" t="s">
        <v>830</v>
      </c>
    </row>
    <row r="217" spans="1:15" x14ac:dyDescent="0.25">
      <c r="A217" s="17" t="s">
        <v>779</v>
      </c>
      <c r="B217" s="17" t="s">
        <v>69</v>
      </c>
      <c r="C217" s="17" t="s">
        <v>70</v>
      </c>
      <c r="D217" s="17"/>
      <c r="E217" s="17" t="s">
        <v>1119</v>
      </c>
      <c r="F217" s="17"/>
      <c r="G217" s="17"/>
      <c r="H217" s="17" t="s">
        <v>781</v>
      </c>
      <c r="I217" s="17" t="s">
        <v>828</v>
      </c>
      <c r="J217" s="17" t="s">
        <v>1120</v>
      </c>
      <c r="K217" s="18">
        <v>9.36</v>
      </c>
      <c r="L217" s="17" t="s">
        <v>74</v>
      </c>
      <c r="M217" s="19">
        <v>46031</v>
      </c>
      <c r="N217" s="19">
        <v>46740</v>
      </c>
      <c r="O217" s="17" t="s">
        <v>830</v>
      </c>
    </row>
    <row r="218" spans="1:15" x14ac:dyDescent="0.25">
      <c r="A218" s="17" t="s">
        <v>779</v>
      </c>
      <c r="B218" s="17" t="s">
        <v>69</v>
      </c>
      <c r="C218" s="17" t="s">
        <v>70</v>
      </c>
      <c r="D218" s="17"/>
      <c r="E218" s="17" t="s">
        <v>780</v>
      </c>
      <c r="F218" s="17"/>
      <c r="G218" s="17"/>
      <c r="H218" s="17" t="s">
        <v>781</v>
      </c>
      <c r="I218" s="17" t="s">
        <v>828</v>
      </c>
      <c r="J218" s="17" t="s">
        <v>1120</v>
      </c>
      <c r="K218" s="18">
        <v>108</v>
      </c>
      <c r="L218" s="17" t="s">
        <v>74</v>
      </c>
      <c r="M218" s="19">
        <v>46042</v>
      </c>
      <c r="N218" s="19">
        <v>46755</v>
      </c>
      <c r="O218" s="17" t="s">
        <v>830</v>
      </c>
    </row>
    <row r="219" spans="1:15" x14ac:dyDescent="0.25">
      <c r="A219" s="17" t="s">
        <v>769</v>
      </c>
      <c r="B219" s="17" t="s">
        <v>69</v>
      </c>
      <c r="C219" s="17" t="s">
        <v>70</v>
      </c>
      <c r="D219" s="17"/>
      <c r="E219" s="17" t="s">
        <v>1121</v>
      </c>
      <c r="F219" s="17"/>
      <c r="G219" s="17"/>
      <c r="H219" s="17" t="s">
        <v>771</v>
      </c>
      <c r="I219" s="17" t="s">
        <v>828</v>
      </c>
      <c r="J219" s="17" t="s">
        <v>1122</v>
      </c>
      <c r="K219" s="18">
        <v>4.68</v>
      </c>
      <c r="L219" s="17" t="s">
        <v>74</v>
      </c>
      <c r="M219" s="19">
        <v>45905</v>
      </c>
      <c r="N219" s="19">
        <v>46615</v>
      </c>
      <c r="O219" s="17" t="s">
        <v>830</v>
      </c>
    </row>
    <row r="220" spans="1:15" x14ac:dyDescent="0.25">
      <c r="A220" s="17" t="s">
        <v>769</v>
      </c>
      <c r="B220" s="17" t="s">
        <v>69</v>
      </c>
      <c r="C220" s="17" t="s">
        <v>70</v>
      </c>
      <c r="D220" s="17"/>
      <c r="E220" s="17" t="s">
        <v>770</v>
      </c>
      <c r="F220" s="17"/>
      <c r="G220" s="17"/>
      <c r="H220" s="17" t="s">
        <v>771</v>
      </c>
      <c r="I220" s="17" t="s">
        <v>828</v>
      </c>
      <c r="J220" s="17" t="s">
        <v>1122</v>
      </c>
      <c r="K220" s="18">
        <v>41.76</v>
      </c>
      <c r="L220" s="17" t="s">
        <v>74</v>
      </c>
      <c r="M220" s="19">
        <v>46030</v>
      </c>
      <c r="N220" s="19">
        <v>46740</v>
      </c>
      <c r="O220" s="17" t="s">
        <v>830</v>
      </c>
    </row>
    <row r="221" spans="1:15" x14ac:dyDescent="0.25">
      <c r="A221" s="17" t="s">
        <v>1123</v>
      </c>
      <c r="B221" s="17" t="s">
        <v>69</v>
      </c>
      <c r="C221" s="17" t="s">
        <v>70</v>
      </c>
      <c r="D221" s="17"/>
      <c r="E221" s="17" t="s">
        <v>1127</v>
      </c>
      <c r="F221" s="17"/>
      <c r="G221" s="17"/>
      <c r="H221" s="17" t="s">
        <v>1125</v>
      </c>
      <c r="I221" s="17" t="s">
        <v>828</v>
      </c>
      <c r="J221" s="17" t="s">
        <v>1126</v>
      </c>
      <c r="K221" s="18">
        <v>21.96</v>
      </c>
      <c r="L221" s="17" t="s">
        <v>74</v>
      </c>
      <c r="M221" s="19">
        <v>46008</v>
      </c>
      <c r="N221" s="19">
        <v>46720</v>
      </c>
      <c r="O221" s="17" t="s">
        <v>830</v>
      </c>
    </row>
    <row r="222" spans="1:15" x14ac:dyDescent="0.25">
      <c r="A222" s="17" t="s">
        <v>1123</v>
      </c>
      <c r="B222" s="17" t="s">
        <v>69</v>
      </c>
      <c r="C222" s="17" t="s">
        <v>70</v>
      </c>
      <c r="D222" s="17"/>
      <c r="E222" s="17" t="s">
        <v>1124</v>
      </c>
      <c r="F222" s="17"/>
      <c r="G222" s="17"/>
      <c r="H222" s="17" t="s">
        <v>1125</v>
      </c>
      <c r="I222" s="17" t="s">
        <v>828</v>
      </c>
      <c r="J222" s="17" t="s">
        <v>1126</v>
      </c>
      <c r="K222" s="18">
        <v>48.96</v>
      </c>
      <c r="L222" s="17" t="s">
        <v>74</v>
      </c>
      <c r="M222" s="19">
        <v>46048</v>
      </c>
      <c r="N222" s="19">
        <v>46763</v>
      </c>
      <c r="O222" s="17" t="s">
        <v>830</v>
      </c>
    </row>
    <row r="223" spans="1:15" x14ac:dyDescent="0.25">
      <c r="A223" s="17" t="s">
        <v>757</v>
      </c>
      <c r="B223" s="17" t="s">
        <v>69</v>
      </c>
      <c r="C223" s="17" t="s">
        <v>70</v>
      </c>
      <c r="D223" s="17"/>
      <c r="E223" s="17" t="s">
        <v>760</v>
      </c>
      <c r="F223" s="17"/>
      <c r="G223" s="17"/>
      <c r="H223" s="17" t="s">
        <v>758</v>
      </c>
      <c r="I223" s="17" t="s">
        <v>828</v>
      </c>
      <c r="J223" s="17" t="s">
        <v>1128</v>
      </c>
      <c r="K223" s="18">
        <v>14.4</v>
      </c>
      <c r="L223" s="17" t="s">
        <v>74</v>
      </c>
      <c r="M223" s="19">
        <v>46038</v>
      </c>
      <c r="N223" s="19">
        <v>46740</v>
      </c>
      <c r="O223" s="17" t="s">
        <v>830</v>
      </c>
    </row>
    <row r="224" spans="1:15" x14ac:dyDescent="0.25">
      <c r="A224" s="17" t="s">
        <v>740</v>
      </c>
      <c r="B224" s="17" t="s">
        <v>69</v>
      </c>
      <c r="C224" s="17" t="s">
        <v>70</v>
      </c>
      <c r="D224" s="17"/>
      <c r="E224" s="17" t="s">
        <v>741</v>
      </c>
      <c r="F224" s="17"/>
      <c r="G224" s="17"/>
      <c r="H224" s="17" t="s">
        <v>742</v>
      </c>
      <c r="I224" s="17" t="s">
        <v>828</v>
      </c>
      <c r="J224" s="17" t="s">
        <v>1129</v>
      </c>
      <c r="K224" s="18">
        <v>76.680000000000007</v>
      </c>
      <c r="L224" s="17" t="s">
        <v>74</v>
      </c>
      <c r="M224" s="19">
        <v>46035</v>
      </c>
      <c r="N224" s="19">
        <v>46749</v>
      </c>
      <c r="O224" s="17" t="s">
        <v>830</v>
      </c>
    </row>
    <row r="225" spans="1:15" x14ac:dyDescent="0.25">
      <c r="A225" s="17" t="s">
        <v>1130</v>
      </c>
      <c r="B225" s="17" t="s">
        <v>69</v>
      </c>
      <c r="C225" s="17" t="s">
        <v>70</v>
      </c>
      <c r="D225" s="17"/>
      <c r="E225" s="17" t="s">
        <v>1182</v>
      </c>
      <c r="F225" s="17"/>
      <c r="G225" s="17"/>
      <c r="H225" s="17" t="s">
        <v>1131</v>
      </c>
      <c r="I225" s="17" t="s">
        <v>828</v>
      </c>
      <c r="J225" s="17" t="s">
        <v>1132</v>
      </c>
      <c r="K225" s="18">
        <v>93.96</v>
      </c>
      <c r="L225" s="17" t="s">
        <v>74</v>
      </c>
      <c r="M225" s="19">
        <v>46057</v>
      </c>
      <c r="N225" s="19">
        <v>46770</v>
      </c>
      <c r="O225" s="17" t="s">
        <v>830</v>
      </c>
    </row>
    <row r="226" spans="1:15" x14ac:dyDescent="0.25">
      <c r="A226" s="17" t="s">
        <v>737</v>
      </c>
      <c r="B226" s="17" t="s">
        <v>69</v>
      </c>
      <c r="C226" s="17" t="s">
        <v>70</v>
      </c>
      <c r="D226" s="17"/>
      <c r="E226" s="17" t="s">
        <v>738</v>
      </c>
      <c r="F226" s="17"/>
      <c r="G226" s="17"/>
      <c r="H226" s="17" t="s">
        <v>739</v>
      </c>
      <c r="I226" s="17" t="s">
        <v>828</v>
      </c>
      <c r="J226" s="17" t="s">
        <v>1134</v>
      </c>
      <c r="K226" s="18">
        <v>98.64</v>
      </c>
      <c r="L226" s="17" t="s">
        <v>74</v>
      </c>
      <c r="M226" s="19">
        <v>46051</v>
      </c>
      <c r="N226" s="19">
        <v>46763</v>
      </c>
      <c r="O226" s="17" t="s">
        <v>830</v>
      </c>
    </row>
    <row r="227" spans="1:15" x14ac:dyDescent="0.25">
      <c r="A227" s="17" t="s">
        <v>737</v>
      </c>
      <c r="B227" s="17" t="s">
        <v>69</v>
      </c>
      <c r="C227" s="17" t="s">
        <v>70</v>
      </c>
      <c r="D227" s="17"/>
      <c r="E227" s="17" t="s">
        <v>1133</v>
      </c>
      <c r="F227" s="17"/>
      <c r="G227" s="17"/>
      <c r="H227" s="17" t="s">
        <v>739</v>
      </c>
      <c r="I227" s="17" t="s">
        <v>828</v>
      </c>
      <c r="J227" s="17" t="s">
        <v>1134</v>
      </c>
      <c r="K227" s="18">
        <v>12.96</v>
      </c>
      <c r="L227" s="17" t="s">
        <v>74</v>
      </c>
      <c r="M227" s="19">
        <v>45988</v>
      </c>
      <c r="N227" s="19">
        <v>46706</v>
      </c>
      <c r="O227" s="17" t="s">
        <v>830</v>
      </c>
    </row>
    <row r="228" spans="1:15" x14ac:dyDescent="0.25">
      <c r="A228" s="17" t="s">
        <v>716</v>
      </c>
      <c r="B228" s="17" t="s">
        <v>69</v>
      </c>
      <c r="C228" s="17" t="s">
        <v>70</v>
      </c>
      <c r="D228" s="17"/>
      <c r="E228" s="17" t="s">
        <v>717</v>
      </c>
      <c r="F228" s="17"/>
      <c r="G228" s="17"/>
      <c r="H228" s="17" t="s">
        <v>718</v>
      </c>
      <c r="I228" s="17" t="s">
        <v>828</v>
      </c>
      <c r="J228" s="17" t="s">
        <v>1135</v>
      </c>
      <c r="K228" s="18">
        <v>39.96</v>
      </c>
      <c r="L228" s="17" t="s">
        <v>74</v>
      </c>
      <c r="M228" s="19">
        <v>46008</v>
      </c>
      <c r="N228" s="19">
        <v>46720</v>
      </c>
      <c r="O228" s="17" t="s">
        <v>830</v>
      </c>
    </row>
    <row r="229" spans="1:15" x14ac:dyDescent="0.25">
      <c r="A229" s="17" t="s">
        <v>1136</v>
      </c>
      <c r="B229" s="17" t="s">
        <v>69</v>
      </c>
      <c r="C229" s="17" t="s">
        <v>70</v>
      </c>
      <c r="D229" s="17"/>
      <c r="E229" s="17" t="s">
        <v>1205</v>
      </c>
      <c r="F229" s="17"/>
      <c r="G229" s="17"/>
      <c r="H229" s="17" t="s">
        <v>1137</v>
      </c>
      <c r="I229" s="17" t="s">
        <v>828</v>
      </c>
      <c r="J229" s="17" t="s">
        <v>1138</v>
      </c>
      <c r="K229" s="18">
        <v>61.2</v>
      </c>
      <c r="L229" s="17" t="s">
        <v>74</v>
      </c>
      <c r="M229" s="19">
        <v>46062</v>
      </c>
      <c r="N229" s="19">
        <v>46751</v>
      </c>
      <c r="O229" s="17" t="s">
        <v>830</v>
      </c>
    </row>
    <row r="230" spans="1:15" x14ac:dyDescent="0.25">
      <c r="A230" s="17" t="s">
        <v>796</v>
      </c>
      <c r="B230" s="17" t="s">
        <v>69</v>
      </c>
      <c r="C230" s="17" t="s">
        <v>70</v>
      </c>
      <c r="D230" s="17"/>
      <c r="E230" s="17" t="s">
        <v>797</v>
      </c>
      <c r="F230" s="17"/>
      <c r="G230" s="17"/>
      <c r="H230" s="17" t="s">
        <v>798</v>
      </c>
      <c r="I230" s="17" t="s">
        <v>828</v>
      </c>
      <c r="J230" s="17" t="s">
        <v>1139</v>
      </c>
      <c r="K230" s="18">
        <v>95.76</v>
      </c>
      <c r="L230" s="17" t="s">
        <v>74</v>
      </c>
      <c r="M230" s="19">
        <v>46049</v>
      </c>
      <c r="N230" s="19">
        <v>46763</v>
      </c>
      <c r="O230" s="17" t="s">
        <v>830</v>
      </c>
    </row>
    <row r="231" spans="1:15" x14ac:dyDescent="0.25">
      <c r="A231" s="17" t="s">
        <v>796</v>
      </c>
      <c r="B231" s="17" t="s">
        <v>69</v>
      </c>
      <c r="C231" s="17" t="s">
        <v>70</v>
      </c>
      <c r="D231" s="17"/>
      <c r="E231" s="17" t="s">
        <v>1140</v>
      </c>
      <c r="F231" s="17"/>
      <c r="G231" s="17"/>
      <c r="H231" s="17" t="s">
        <v>798</v>
      </c>
      <c r="I231" s="17" t="s">
        <v>828</v>
      </c>
      <c r="J231" s="17" t="s">
        <v>1139</v>
      </c>
      <c r="K231" s="18">
        <v>15.84</v>
      </c>
      <c r="L231" s="17" t="s">
        <v>74</v>
      </c>
      <c r="M231" s="19">
        <v>46031</v>
      </c>
      <c r="N231" s="19">
        <v>46740</v>
      </c>
      <c r="O231" s="17" t="s">
        <v>830</v>
      </c>
    </row>
    <row r="232" spans="1:15" x14ac:dyDescent="0.25">
      <c r="A232" s="17" t="s">
        <v>723</v>
      </c>
      <c r="B232" s="17" t="s">
        <v>69</v>
      </c>
      <c r="C232" s="17" t="s">
        <v>70</v>
      </c>
      <c r="D232" s="17"/>
      <c r="E232" s="17" t="s">
        <v>724</v>
      </c>
      <c r="F232" s="17"/>
      <c r="G232" s="17"/>
      <c r="H232" s="17" t="s">
        <v>725</v>
      </c>
      <c r="I232" s="17" t="s">
        <v>828</v>
      </c>
      <c r="J232" s="17" t="s">
        <v>1141</v>
      </c>
      <c r="K232" s="18">
        <v>154.80000000000001</v>
      </c>
      <c r="L232" s="17" t="s">
        <v>74</v>
      </c>
      <c r="M232" s="19">
        <v>46042</v>
      </c>
      <c r="N232" s="19">
        <v>46751</v>
      </c>
      <c r="O232" s="17" t="s">
        <v>830</v>
      </c>
    </row>
    <row r="233" spans="1:15" x14ac:dyDescent="0.25">
      <c r="A233" s="17" t="s">
        <v>723</v>
      </c>
      <c r="B233" s="17" t="s">
        <v>69</v>
      </c>
      <c r="C233" s="17" t="s">
        <v>70</v>
      </c>
      <c r="D233" s="17"/>
      <c r="E233" s="17" t="s">
        <v>1264</v>
      </c>
      <c r="F233" s="17"/>
      <c r="G233" s="17"/>
      <c r="H233" s="17" t="s">
        <v>725</v>
      </c>
      <c r="I233" s="17" t="s">
        <v>828</v>
      </c>
      <c r="J233" s="17" t="s">
        <v>1141</v>
      </c>
      <c r="K233" s="18">
        <v>0.36</v>
      </c>
      <c r="L233" s="17" t="s">
        <v>74</v>
      </c>
      <c r="M233" s="19">
        <v>46053</v>
      </c>
      <c r="N233" s="19">
        <v>46714</v>
      </c>
      <c r="O233" s="17" t="s">
        <v>830</v>
      </c>
    </row>
    <row r="234" spans="1:15" x14ac:dyDescent="0.25">
      <c r="A234" s="17" t="s">
        <v>729</v>
      </c>
      <c r="B234" s="17" t="s">
        <v>69</v>
      </c>
      <c r="C234" s="17" t="s">
        <v>70</v>
      </c>
      <c r="D234" s="17"/>
      <c r="E234" s="17" t="s">
        <v>733</v>
      </c>
      <c r="F234" s="17"/>
      <c r="G234" s="17"/>
      <c r="H234" s="17" t="s">
        <v>731</v>
      </c>
      <c r="I234" s="17" t="s">
        <v>828</v>
      </c>
      <c r="J234" s="17" t="s">
        <v>1142</v>
      </c>
      <c r="K234" s="18">
        <v>250.92</v>
      </c>
      <c r="L234" s="17" t="s">
        <v>74</v>
      </c>
      <c r="M234" s="19">
        <v>46045</v>
      </c>
      <c r="N234" s="19">
        <v>46751</v>
      </c>
      <c r="O234" s="17" t="s">
        <v>830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6D2E-0B0E-4268-BBEE-184798F06B9E}">
  <dimension ref="A2:XFD84"/>
  <sheetViews>
    <sheetView showGridLines="0" topLeftCell="A13" zoomScale="67" zoomScaleNormal="67" workbookViewId="0">
      <selection activeCell="H24" sqref="H24"/>
    </sheetView>
  </sheetViews>
  <sheetFormatPr defaultRowHeight="15" x14ac:dyDescent="0.25"/>
  <cols>
    <col min="1" max="1" width="4.28515625" style="1" customWidth="1"/>
    <col min="2" max="2" width="20.140625" style="1" bestFit="1" customWidth="1"/>
    <col min="3" max="3" width="21.42578125" style="1" bestFit="1" customWidth="1"/>
    <col min="4" max="4" width="51.42578125" style="1" bestFit="1" customWidth="1"/>
    <col min="5" max="5" width="20.140625" style="11" bestFit="1" customWidth="1"/>
    <col min="6" max="6" width="16" style="1" bestFit="1" customWidth="1"/>
    <col min="7" max="7" width="20.140625" style="1" bestFit="1" customWidth="1"/>
    <col min="8" max="8" width="18.140625" style="1" customWidth="1"/>
    <col min="9" max="9" width="21" style="1" bestFit="1" customWidth="1"/>
    <col min="10" max="10" width="9.140625" style="1" customWidth="1"/>
    <col min="11" max="16384" width="9.140625" style="1"/>
  </cols>
  <sheetData>
    <row r="2" spans="1:16384" x14ac:dyDescent="0.25">
      <c r="B2" s="8" t="s">
        <v>29</v>
      </c>
      <c r="C2" s="20" t="s">
        <v>58</v>
      </c>
      <c r="D2" s="9" t="s">
        <v>8</v>
      </c>
      <c r="E2" s="12" t="s">
        <v>825</v>
      </c>
      <c r="F2" s="9" t="s">
        <v>9</v>
      </c>
      <c r="G2" s="9" t="s">
        <v>1</v>
      </c>
      <c r="H2" s="10" t="s">
        <v>28</v>
      </c>
      <c r="I2" s="3" t="s">
        <v>1287</v>
      </c>
    </row>
    <row r="3" spans="1:16384" x14ac:dyDescent="0.25">
      <c r="B3" s="2" t="s">
        <v>5</v>
      </c>
      <c r="C3" s="3" t="s">
        <v>2</v>
      </c>
      <c r="D3" s="3" t="s">
        <v>3</v>
      </c>
      <c r="E3" s="13">
        <f>VALUE(SUMIFS(Tabela4[Estoque disponível],Tabela4[Material],'Ressuprimento 1'!C3))</f>
        <v>23.7</v>
      </c>
      <c r="F3" s="13">
        <v>12</v>
      </c>
      <c r="G3" s="3" t="s">
        <v>50</v>
      </c>
      <c r="H3" s="4" t="s">
        <v>53</v>
      </c>
      <c r="I3" s="13">
        <f>SUMIFS(Tabela1[Estoque disponível],Tabela1[Posição no depósito],Tabela2[[#This Row],[Prox/Atual]],Tabela1[Lote],Tabela2[[#This Row],[Lote]])</f>
        <v>108</v>
      </c>
    </row>
    <row r="4" spans="1:16384" x14ac:dyDescent="0.25">
      <c r="B4" s="2" t="s">
        <v>4</v>
      </c>
      <c r="C4" s="3" t="s">
        <v>6</v>
      </c>
      <c r="D4" s="3" t="s">
        <v>7</v>
      </c>
      <c r="E4" s="13">
        <f>VALUE(SUMIFS(Tabela4[Estoque disponível],Tabela4[Material],'Ressuprimento 1'!C4))</f>
        <v>104.25</v>
      </c>
      <c r="F4" s="13">
        <v>12</v>
      </c>
      <c r="G4" s="3" t="s">
        <v>526</v>
      </c>
      <c r="H4" s="4" t="s">
        <v>525</v>
      </c>
      <c r="I4" s="13">
        <f>SUMIFS(Tabela1[Estoque disponível],Tabela1[Posição no depósito],Tabela2[[#This Row],[Prox/Atual]],Tabela1[Lote],Tabela2[[#This Row],[Lote]])</f>
        <v>271.35000000000002</v>
      </c>
    </row>
    <row r="5" spans="1:16384" x14ac:dyDescent="0.25">
      <c r="B5" s="2" t="s">
        <v>12</v>
      </c>
      <c r="C5" s="3" t="s">
        <v>10</v>
      </c>
      <c r="D5" s="3" t="s">
        <v>11</v>
      </c>
      <c r="E5" s="13">
        <f>VALUE(SUMIFS(Tabela4[Estoque disponível],Tabela4[Material],'Ressuprimento 1'!C5))</f>
        <v>88.95</v>
      </c>
      <c r="F5" s="13">
        <v>12</v>
      </c>
      <c r="G5" s="3" t="s">
        <v>358</v>
      </c>
      <c r="H5" s="4" t="s">
        <v>410</v>
      </c>
      <c r="I5" s="13">
        <f>SUMIFS(Tabela1[Estoque disponível],Tabela1[Posição no depósito],Tabela2[[#This Row],[Prox/Atual]],Tabela1[Lote],Tabela2[[#This Row],[Lote]])</f>
        <v>36</v>
      </c>
    </row>
    <row r="6" spans="1:16384" x14ac:dyDescent="0.25">
      <c r="B6" s="2" t="s">
        <v>14</v>
      </c>
      <c r="C6" s="3" t="s">
        <v>13</v>
      </c>
      <c r="D6" s="3" t="s">
        <v>15</v>
      </c>
      <c r="E6" s="13">
        <f>VALUE(SUMIFS(Tabela4[Estoque disponível],Tabela4[Material],'Ressuprimento 1'!C6))</f>
        <v>18.600000000000001</v>
      </c>
      <c r="F6" s="13">
        <v>12</v>
      </c>
      <c r="G6" s="3" t="s">
        <v>604</v>
      </c>
      <c r="H6" s="4" t="s">
        <v>499</v>
      </c>
      <c r="I6" s="13">
        <f>SUMIFS(Tabela1[Estoque disponível],Tabela1[Posição no depósito],Tabela2[[#This Row],[Prox/Atual]],Tabela1[Lote],Tabela2[[#This Row],[Lote]])</f>
        <v>88.2</v>
      </c>
    </row>
    <row r="7" spans="1:16384" x14ac:dyDescent="0.25">
      <c r="B7" s="2" t="s">
        <v>18</v>
      </c>
      <c r="C7" s="3" t="s">
        <v>16</v>
      </c>
      <c r="D7" s="3" t="s">
        <v>17</v>
      </c>
      <c r="E7" s="13">
        <f>VALUE(SUMIFS(Tabela4[Estoque disponível],Tabela4[Material],'Ressuprimento 1'!C7))</f>
        <v>120</v>
      </c>
      <c r="F7" s="13">
        <v>12</v>
      </c>
      <c r="G7" s="3" t="s">
        <v>582</v>
      </c>
      <c r="H7" s="4" t="s">
        <v>581</v>
      </c>
      <c r="I7" s="13">
        <f>SUMIFS(Tabela1[Estoque disponível],Tabela1[Posição no depósito],Tabela2[[#This Row],[Prox/Atual]],Tabela1[Lote],Tabela2[[#This Row],[Lote]])</f>
        <v>262.5</v>
      </c>
    </row>
    <row r="8" spans="1:16384" x14ac:dyDescent="0.25">
      <c r="B8" s="2" t="s">
        <v>21</v>
      </c>
      <c r="C8" s="3" t="s">
        <v>19</v>
      </c>
      <c r="D8" s="3" t="s">
        <v>20</v>
      </c>
      <c r="E8" s="13">
        <f>VALUE(SUMIFS(Tabela4[Estoque disponível],Tabela4[Material],'Ressuprimento 1'!C8))</f>
        <v>92.55</v>
      </c>
      <c r="F8" s="13">
        <v>12</v>
      </c>
      <c r="G8" s="3" t="s">
        <v>343</v>
      </c>
      <c r="H8" s="4" t="s">
        <v>1206</v>
      </c>
      <c r="I8" s="13">
        <f>SUMIFS(Tabela1[Estoque disponível],Tabela1[Posição no depósito],Tabela2[[#This Row],[Prox/Atual]],Tabela1[Lote],Tabela2[[#This Row],[Lote]])</f>
        <v>135.6</v>
      </c>
    </row>
    <row r="9" spans="1:16384" x14ac:dyDescent="0.25">
      <c r="B9" s="2" t="s">
        <v>24</v>
      </c>
      <c r="C9" s="3" t="s">
        <v>22</v>
      </c>
      <c r="D9" s="3" t="s">
        <v>23</v>
      </c>
      <c r="E9" s="13">
        <f>VALUE(SUMIFS(Tabela4[Estoque disponível],Tabela4[Material],'Ressuprimento 1'!C9))</f>
        <v>13.95</v>
      </c>
      <c r="F9" s="13">
        <v>12</v>
      </c>
      <c r="G9" s="3" t="s">
        <v>310</v>
      </c>
      <c r="H9" s="4" t="s">
        <v>344</v>
      </c>
      <c r="I9" s="13">
        <f>SUMIFS(Tabela1[Estoque disponível],Tabela1[Posição no depósito],Tabela2[[#This Row],[Prox/Atual]],Tabela1[Lote],Tabela2[[#This Row],[Lote]])</f>
        <v>50.85</v>
      </c>
    </row>
    <row r="10" spans="1:16384" x14ac:dyDescent="0.25">
      <c r="B10" s="5" t="s">
        <v>27</v>
      </c>
      <c r="C10" s="6" t="s">
        <v>25</v>
      </c>
      <c r="D10" s="6" t="s">
        <v>26</v>
      </c>
      <c r="E10" s="13">
        <f>VALUE(SUMIFS(Tabela4[Estoque disponível],Tabela4[Material],'Ressuprimento 1'!C10))</f>
        <v>52.35</v>
      </c>
      <c r="F10" s="47">
        <v>12</v>
      </c>
      <c r="G10" s="6" t="s">
        <v>383</v>
      </c>
      <c r="H10" s="7" t="s">
        <v>382</v>
      </c>
      <c r="I10" s="13">
        <f>SUMIFS(Tabela1[Estoque disponível],Tabela1[Posição no depósito],Tabela2[[#This Row],[Prox/Atual]],Tabela1[Lote],Tabela2[[#This Row],[Lote]])</f>
        <v>263.39999999999998</v>
      </c>
    </row>
    <row r="12" spans="1:16384" x14ac:dyDescent="0.25">
      <c r="B12" s="8" t="s">
        <v>1207</v>
      </c>
      <c r="C12" s="20" t="s">
        <v>58</v>
      </c>
      <c r="D12" s="9" t="s">
        <v>8</v>
      </c>
      <c r="E12" s="12" t="s">
        <v>0</v>
      </c>
      <c r="F12" s="9" t="s">
        <v>9</v>
      </c>
      <c r="G12" s="9" t="s">
        <v>1</v>
      </c>
      <c r="H12" s="10" t="s">
        <v>28</v>
      </c>
      <c r="I12" s="9" t="s">
        <v>1287</v>
      </c>
    </row>
    <row r="13" spans="1:16384" x14ac:dyDescent="0.25">
      <c r="B13" s="3" t="s">
        <v>952</v>
      </c>
      <c r="C13" s="43" t="s">
        <v>297</v>
      </c>
      <c r="D13" s="43" t="s">
        <v>299</v>
      </c>
      <c r="E13" s="13">
        <f>VALUE(SUMIFS(Tabela4[Estoque disponível],Tabela4[Material],'Ressuprimento 1'!C13))</f>
        <v>43.65</v>
      </c>
      <c r="F13" s="13">
        <v>12</v>
      </c>
      <c r="G13" s="3" t="s">
        <v>55</v>
      </c>
      <c r="H13" s="3" t="s">
        <v>301</v>
      </c>
      <c r="I13" s="13">
        <f>SUMIFS(Tabela1[Estoque disponível],Tabela1[Posição no depósito],Tabela24[[#This Row],[Prox/Atual]],Tabela1[Lote],Tabela24[[#This Row],[Lote]])</f>
        <v>84</v>
      </c>
    </row>
    <row r="14" spans="1:16384" x14ac:dyDescent="0.25">
      <c r="B14" s="6" t="s">
        <v>953</v>
      </c>
      <c r="C14" s="46" t="s">
        <v>460</v>
      </c>
      <c r="D14" s="46" t="s">
        <v>462</v>
      </c>
      <c r="E14" s="13">
        <f>VALUE(SUMIFS(Tabela4[Estoque disponível],Tabela4[Material],'Ressuprimento 1'!C14))</f>
        <v>87.6</v>
      </c>
      <c r="F14" s="47">
        <v>12</v>
      </c>
      <c r="G14" s="6" t="s">
        <v>464</v>
      </c>
      <c r="H14" s="55" t="s">
        <v>463</v>
      </c>
      <c r="I14" s="13">
        <f>SUMIFS(Tabela1[Estoque disponível],Tabela1[Posição no depósito],Tabela24[[#This Row],[Prox/Atual]],Tabela1[Lote],Tabela24[[#This Row],[Lote]])</f>
        <v>271.5</v>
      </c>
    </row>
    <row r="15" spans="1:16384" s="77" customFormat="1" x14ac:dyDescent="0.25">
      <c r="A15" s="66"/>
      <c r="B15" s="3" t="s">
        <v>954</v>
      </c>
      <c r="C15" s="43" t="s">
        <v>355</v>
      </c>
      <c r="D15" s="43" t="s">
        <v>357</v>
      </c>
      <c r="E15" s="13">
        <f>VALUE(SUMIFS(Tabela4[Estoque disponível],Tabela4[Material],'Ressuprimento 1'!C15))</f>
        <v>27.9</v>
      </c>
      <c r="F15" s="13">
        <v>12</v>
      </c>
      <c r="G15" s="3" t="s">
        <v>358</v>
      </c>
      <c r="H15" s="3" t="s">
        <v>356</v>
      </c>
      <c r="I15" s="13">
        <f>SUMIFS(Tabela1[Estoque disponível],Tabela1[Posição no depósito],Tabela24[[#This Row],[Prox/Atual]],Tabela1[Lote],Tabela24[[#This Row],[Lote]])</f>
        <v>35.4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  <c r="ASY15" s="66"/>
      <c r="ASZ15" s="66"/>
      <c r="ATA15" s="66"/>
      <c r="ATB15" s="66"/>
      <c r="ATC15" s="66"/>
      <c r="ATD15" s="66"/>
      <c r="ATE15" s="66"/>
      <c r="ATF15" s="66"/>
      <c r="ATG15" s="66"/>
      <c r="ATH15" s="66"/>
      <c r="ATI15" s="66"/>
      <c r="ATJ15" s="66"/>
      <c r="ATK15" s="66"/>
      <c r="ATL15" s="66"/>
      <c r="ATM15" s="66"/>
      <c r="ATN15" s="66"/>
      <c r="ATO15" s="66"/>
      <c r="ATP15" s="66"/>
      <c r="ATQ15" s="66"/>
      <c r="ATR15" s="66"/>
      <c r="ATS15" s="66"/>
      <c r="ATT15" s="66"/>
      <c r="ATU15" s="66"/>
      <c r="ATV15" s="66"/>
      <c r="ATW15" s="66"/>
      <c r="ATX15" s="66"/>
      <c r="ATY15" s="66"/>
      <c r="ATZ15" s="66"/>
      <c r="AUA15" s="66"/>
      <c r="AUB15" s="66"/>
      <c r="AUC15" s="66"/>
      <c r="AUD15" s="66"/>
      <c r="AUE15" s="66"/>
      <c r="AUF15" s="66"/>
      <c r="AUG15" s="66"/>
      <c r="AUH15" s="66"/>
      <c r="AUI15" s="66"/>
      <c r="AUJ15" s="66"/>
      <c r="AUK15" s="66"/>
      <c r="AUL15" s="66"/>
      <c r="AUM15" s="66"/>
      <c r="AUN15" s="66"/>
      <c r="AUO15" s="66"/>
      <c r="AUP15" s="66"/>
      <c r="AUQ15" s="66"/>
      <c r="AUR15" s="66"/>
      <c r="AUS15" s="66"/>
      <c r="AUT15" s="66"/>
      <c r="AUU15" s="66"/>
      <c r="AUV15" s="66"/>
      <c r="AUW15" s="66"/>
      <c r="AUX15" s="66"/>
      <c r="AUY15" s="66"/>
      <c r="AUZ15" s="66"/>
      <c r="AVA15" s="66"/>
      <c r="AVB15" s="66"/>
      <c r="AVC15" s="66"/>
      <c r="AVD15" s="66"/>
      <c r="AVE15" s="66"/>
      <c r="AVF15" s="66"/>
      <c r="AVG15" s="66"/>
      <c r="AVH15" s="66"/>
      <c r="AVI15" s="66"/>
      <c r="AVJ15" s="66"/>
      <c r="AVK15" s="66"/>
      <c r="AVL15" s="66"/>
      <c r="AVM15" s="66"/>
      <c r="AVN15" s="66"/>
      <c r="AVO15" s="66"/>
      <c r="AVP15" s="66"/>
      <c r="AVQ15" s="66"/>
      <c r="AVR15" s="66"/>
      <c r="AVS15" s="66"/>
      <c r="AVT15" s="66"/>
      <c r="AVU15" s="66"/>
      <c r="AVV15" s="66"/>
      <c r="AVW15" s="66"/>
      <c r="AVX15" s="66"/>
      <c r="AVY15" s="66"/>
      <c r="AVZ15" s="66"/>
      <c r="AWA15" s="66"/>
      <c r="AWB15" s="66"/>
      <c r="AWC15" s="66"/>
      <c r="AWD15" s="66"/>
      <c r="AWE15" s="66"/>
      <c r="AWF15" s="66"/>
      <c r="AWG15" s="66"/>
      <c r="AWH15" s="66"/>
      <c r="AWI15" s="66"/>
      <c r="AWJ15" s="66"/>
      <c r="AWK15" s="66"/>
      <c r="AWL15" s="66"/>
      <c r="AWM15" s="66"/>
      <c r="AWN15" s="66"/>
      <c r="AWO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P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D15" s="66"/>
      <c r="AYE15" s="66"/>
      <c r="AYF15" s="66"/>
      <c r="AYG15" s="66"/>
      <c r="AYH15" s="66"/>
      <c r="AYI15" s="66"/>
      <c r="AYJ15" s="66"/>
      <c r="AYK15" s="66"/>
      <c r="AYL15" s="66"/>
      <c r="AYM15" s="66"/>
      <c r="AYN15" s="66"/>
      <c r="AYO15" s="66"/>
      <c r="AYP15" s="66"/>
      <c r="AYQ15" s="66"/>
      <c r="AYR15" s="66"/>
      <c r="AYS15" s="66"/>
      <c r="AYT15" s="66"/>
      <c r="AYU15" s="66"/>
      <c r="AYV15" s="66"/>
      <c r="AYW15" s="66"/>
      <c r="AYX15" s="66"/>
      <c r="AYY15" s="66"/>
      <c r="AYZ15" s="66"/>
      <c r="AZA15" s="66"/>
      <c r="AZB15" s="66"/>
      <c r="AZC15" s="66"/>
      <c r="AZD15" s="66"/>
      <c r="AZE15" s="66"/>
      <c r="AZF15" s="66"/>
      <c r="AZG15" s="66"/>
      <c r="AZH15" s="66"/>
      <c r="AZI15" s="66"/>
      <c r="AZJ15" s="66"/>
      <c r="AZK15" s="66"/>
      <c r="AZL15" s="66"/>
      <c r="AZM15" s="66"/>
      <c r="AZN15" s="66"/>
      <c r="AZO15" s="66"/>
      <c r="AZP15" s="66"/>
      <c r="AZQ15" s="66"/>
      <c r="AZR15" s="66"/>
      <c r="AZS15" s="66"/>
      <c r="AZT15" s="66"/>
      <c r="AZU15" s="66"/>
      <c r="AZV15" s="66"/>
      <c r="AZW15" s="66"/>
      <c r="AZX15" s="66"/>
      <c r="AZY15" s="66"/>
      <c r="AZZ15" s="66"/>
      <c r="BAA15" s="66"/>
      <c r="BAB15" s="66"/>
      <c r="BAC15" s="66"/>
      <c r="BAD15" s="66"/>
      <c r="BAE15" s="66"/>
      <c r="BAF15" s="66"/>
      <c r="BAG15" s="66"/>
      <c r="BAH15" s="66"/>
      <c r="BAI15" s="66"/>
      <c r="BAJ15" s="66"/>
      <c r="BAK15" s="66"/>
      <c r="BAL15" s="66"/>
      <c r="BAM15" s="66"/>
      <c r="BAN15" s="66"/>
      <c r="BAO15" s="66"/>
      <c r="BAP15" s="66"/>
      <c r="BAQ15" s="66"/>
      <c r="BAR15" s="66"/>
      <c r="BAS15" s="66"/>
      <c r="BAT15" s="66"/>
      <c r="BAU15" s="66"/>
      <c r="BAV15" s="66"/>
      <c r="BAW15" s="66"/>
      <c r="BAX15" s="66"/>
      <c r="BAY15" s="66"/>
      <c r="BAZ15" s="66"/>
      <c r="BBA15" s="66"/>
      <c r="BBB15" s="66"/>
      <c r="BBC15" s="66"/>
      <c r="BBD15" s="66"/>
      <c r="BBE15" s="66"/>
      <c r="BBF15" s="66"/>
      <c r="BBG15" s="66"/>
      <c r="BBH15" s="66"/>
      <c r="BBI15" s="66"/>
      <c r="BBJ15" s="66"/>
      <c r="BBK15" s="66"/>
      <c r="BBL15" s="66"/>
      <c r="BBM15" s="66"/>
      <c r="BBN15" s="66"/>
      <c r="BBO15" s="66"/>
      <c r="BBP15" s="66"/>
      <c r="BBQ15" s="66"/>
      <c r="BBR15" s="66"/>
      <c r="BBS15" s="66"/>
      <c r="BBT15" s="66"/>
      <c r="BBU15" s="66"/>
      <c r="BBV15" s="66"/>
      <c r="BBW15" s="66"/>
      <c r="BBX15" s="66"/>
      <c r="BBY15" s="66"/>
      <c r="BBZ15" s="66"/>
      <c r="BCA15" s="66"/>
      <c r="BCB15" s="66"/>
      <c r="BCC15" s="66"/>
      <c r="BCD15" s="66"/>
      <c r="BCE15" s="66"/>
      <c r="BCF15" s="66"/>
      <c r="BCG15" s="66"/>
      <c r="BCH15" s="66"/>
      <c r="BCI15" s="66"/>
      <c r="BCJ15" s="66"/>
      <c r="BCK15" s="66"/>
      <c r="BCL15" s="66"/>
      <c r="BCM15" s="66"/>
      <c r="BCN15" s="66"/>
      <c r="BCO15" s="66"/>
      <c r="BCP15" s="66"/>
      <c r="BCQ15" s="66"/>
      <c r="BCR15" s="66"/>
      <c r="BCS15" s="66"/>
      <c r="BCT15" s="66"/>
      <c r="BCU15" s="66"/>
      <c r="BCV15" s="66"/>
      <c r="BCW15" s="66"/>
      <c r="BCX15" s="66"/>
      <c r="BCY15" s="66"/>
      <c r="BCZ15" s="66"/>
      <c r="BDA15" s="66"/>
      <c r="BDB15" s="66"/>
      <c r="BDC15" s="66"/>
      <c r="BDD15" s="66"/>
      <c r="BDE15" s="66"/>
      <c r="BDF15" s="66"/>
      <c r="BDG15" s="66"/>
      <c r="BDH15" s="66"/>
      <c r="BDI15" s="66"/>
      <c r="BDJ15" s="66"/>
      <c r="BDK15" s="66"/>
      <c r="BDL15" s="66"/>
      <c r="BDM15" s="66"/>
      <c r="BDN15" s="66"/>
      <c r="BDO15" s="66"/>
      <c r="BDP15" s="66"/>
      <c r="BDQ15" s="66"/>
      <c r="BDR15" s="66"/>
      <c r="BDS15" s="66"/>
      <c r="BDT15" s="66"/>
      <c r="BDU15" s="66"/>
      <c r="BDV15" s="66"/>
      <c r="BDW15" s="66"/>
      <c r="BDX15" s="66"/>
      <c r="BDY15" s="66"/>
      <c r="BDZ15" s="66"/>
      <c r="BEA15" s="66"/>
      <c r="BEB15" s="66"/>
      <c r="BEC15" s="66"/>
      <c r="BED15" s="66"/>
      <c r="BEE15" s="66"/>
      <c r="BEF15" s="66"/>
      <c r="BEG15" s="66"/>
      <c r="BEH15" s="66"/>
      <c r="BEI15" s="66"/>
      <c r="BEJ15" s="66"/>
      <c r="BEK15" s="66"/>
      <c r="BEL15" s="66"/>
      <c r="BEM15" s="66"/>
      <c r="BEN15" s="66"/>
      <c r="BEO15" s="66"/>
      <c r="BEP15" s="66"/>
      <c r="BEQ15" s="66"/>
      <c r="BER15" s="66"/>
      <c r="BES15" s="66"/>
      <c r="BET15" s="66"/>
      <c r="BEU15" s="66"/>
      <c r="BEV15" s="66"/>
      <c r="BEW15" s="66"/>
      <c r="BEX15" s="66"/>
      <c r="BEY15" s="66"/>
      <c r="BEZ15" s="66"/>
      <c r="BFA15" s="66"/>
      <c r="BFB15" s="66"/>
      <c r="BFC15" s="66"/>
      <c r="BFD15" s="66"/>
      <c r="BFE15" s="66"/>
      <c r="BFF15" s="66"/>
      <c r="BFG15" s="66"/>
      <c r="BFH15" s="66"/>
      <c r="BFI15" s="66"/>
      <c r="BFJ15" s="66"/>
      <c r="BFK15" s="66"/>
      <c r="BFL15" s="66"/>
      <c r="BFM15" s="66"/>
      <c r="BFN15" s="66"/>
      <c r="BFO15" s="66"/>
      <c r="BFP15" s="66"/>
      <c r="BFQ15" s="66"/>
      <c r="BFR15" s="66"/>
      <c r="BFS15" s="66"/>
      <c r="BFT15" s="66"/>
      <c r="BFU15" s="66"/>
      <c r="BFV15" s="66"/>
      <c r="BFW15" s="66"/>
      <c r="BFX15" s="66"/>
      <c r="BFY15" s="66"/>
      <c r="BFZ15" s="66"/>
      <c r="BGA15" s="66"/>
      <c r="BGB15" s="66"/>
      <c r="BGC15" s="66"/>
      <c r="BGD15" s="66"/>
      <c r="BGE15" s="66"/>
      <c r="BGF15" s="66"/>
      <c r="BGG15" s="66"/>
      <c r="BGH15" s="66"/>
      <c r="BGI15" s="66"/>
      <c r="BGJ15" s="66"/>
      <c r="BGK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L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HZ15" s="66"/>
      <c r="BIA15" s="66"/>
      <c r="BIB15" s="66"/>
      <c r="BIC15" s="66"/>
      <c r="BID15" s="66"/>
      <c r="BIE15" s="66"/>
      <c r="BIF15" s="66"/>
      <c r="BIG15" s="66"/>
      <c r="BIH15" s="66"/>
      <c r="BII15" s="66"/>
      <c r="BIJ15" s="66"/>
      <c r="BIK15" s="66"/>
      <c r="BIL15" s="66"/>
      <c r="BIM15" s="66"/>
      <c r="BIN15" s="66"/>
      <c r="BIO15" s="66"/>
      <c r="BIP15" s="66"/>
      <c r="BIQ15" s="66"/>
      <c r="BIR15" s="66"/>
      <c r="BIS15" s="66"/>
      <c r="BIT15" s="66"/>
      <c r="BIU15" s="66"/>
      <c r="BIV15" s="66"/>
      <c r="BIW15" s="66"/>
      <c r="BIX15" s="66"/>
      <c r="BIY15" s="66"/>
      <c r="BIZ15" s="66"/>
      <c r="BJA15" s="66"/>
      <c r="BJB15" s="66"/>
      <c r="BJC15" s="66"/>
      <c r="BJD15" s="66"/>
      <c r="BJE15" s="66"/>
      <c r="BJF15" s="66"/>
      <c r="BJG15" s="66"/>
      <c r="BJH15" s="66"/>
      <c r="BJI15" s="66"/>
      <c r="BJJ15" s="66"/>
      <c r="BJK15" s="66"/>
      <c r="BJL15" s="66"/>
      <c r="BJM15" s="66"/>
      <c r="BJN15" s="66"/>
      <c r="BJO15" s="66"/>
      <c r="BJP15" s="66"/>
      <c r="BJQ15" s="66"/>
      <c r="BJR15" s="66"/>
      <c r="BJS15" s="66"/>
      <c r="BJT15" s="66"/>
      <c r="BJU15" s="66"/>
      <c r="BJV15" s="66"/>
      <c r="BJW15" s="66"/>
      <c r="BJX15" s="66"/>
      <c r="BJY15" s="66"/>
      <c r="BJZ15" s="66"/>
      <c r="BKA15" s="66"/>
      <c r="BKB15" s="66"/>
      <c r="BKC15" s="66"/>
      <c r="BKD15" s="66"/>
      <c r="BKE15" s="66"/>
      <c r="BKF15" s="66"/>
      <c r="BKG15" s="66"/>
      <c r="BKH15" s="66"/>
      <c r="BKI15" s="66"/>
      <c r="BKJ15" s="66"/>
      <c r="BKK15" s="66"/>
      <c r="BKL15" s="66"/>
      <c r="BKM15" s="66"/>
      <c r="BKN15" s="66"/>
      <c r="BKO15" s="66"/>
      <c r="BKP15" s="66"/>
      <c r="BKQ15" s="66"/>
      <c r="BKR15" s="66"/>
      <c r="BKS15" s="66"/>
      <c r="BKT15" s="66"/>
      <c r="BKU15" s="66"/>
      <c r="BKV15" s="66"/>
      <c r="BKW15" s="66"/>
      <c r="BKX15" s="66"/>
      <c r="BKY15" s="66"/>
      <c r="BKZ15" s="66"/>
      <c r="BLA15" s="66"/>
      <c r="BLB15" s="66"/>
      <c r="BLC15" s="66"/>
      <c r="BLD15" s="66"/>
      <c r="BLE15" s="66"/>
      <c r="BLF15" s="66"/>
      <c r="BLG15" s="66"/>
      <c r="BLH15" s="66"/>
      <c r="BLI15" s="66"/>
      <c r="BLJ15" s="66"/>
      <c r="BLK15" s="66"/>
      <c r="BLL15" s="66"/>
      <c r="BLM15" s="66"/>
      <c r="BLN15" s="66"/>
      <c r="BLO15" s="66"/>
      <c r="BLP15" s="66"/>
      <c r="BLQ15" s="66"/>
      <c r="BLR15" s="66"/>
      <c r="BLS15" s="66"/>
      <c r="BLT15" s="66"/>
      <c r="BLU15" s="66"/>
      <c r="BLV15" s="66"/>
      <c r="BLW15" s="66"/>
      <c r="BLX15" s="66"/>
      <c r="BLY15" s="66"/>
      <c r="BLZ15" s="66"/>
      <c r="BMA15" s="66"/>
      <c r="BMB15" s="66"/>
      <c r="BMC15" s="66"/>
      <c r="BMD15" s="66"/>
      <c r="BME15" s="66"/>
      <c r="BMF15" s="66"/>
      <c r="BMG15" s="66"/>
      <c r="BMH15" s="66"/>
      <c r="BMI15" s="66"/>
      <c r="BMJ15" s="66"/>
      <c r="BMK15" s="66"/>
      <c r="BML15" s="66"/>
      <c r="BMM15" s="66"/>
      <c r="BMN15" s="66"/>
      <c r="BMO15" s="66"/>
      <c r="BMP15" s="66"/>
      <c r="BMQ15" s="66"/>
      <c r="BMR15" s="66"/>
      <c r="BMS15" s="66"/>
      <c r="BMT15" s="66"/>
      <c r="BMU15" s="66"/>
      <c r="BMV15" s="66"/>
      <c r="BMW15" s="66"/>
      <c r="BMX15" s="66"/>
      <c r="BMY15" s="66"/>
      <c r="BMZ15" s="66"/>
      <c r="BNA15" s="66"/>
      <c r="BNB15" s="66"/>
      <c r="BNC15" s="66"/>
      <c r="BND15" s="66"/>
      <c r="BNE15" s="66"/>
      <c r="BNF15" s="66"/>
      <c r="BNG15" s="66"/>
      <c r="BNH15" s="66"/>
      <c r="BNI15" s="66"/>
      <c r="BNJ15" s="66"/>
      <c r="BNK15" s="66"/>
      <c r="BNL15" s="66"/>
      <c r="BNM15" s="66"/>
      <c r="BNN15" s="66"/>
      <c r="BNO15" s="66"/>
      <c r="BNP15" s="66"/>
      <c r="BNQ15" s="66"/>
      <c r="BNR15" s="66"/>
      <c r="BNS15" s="66"/>
      <c r="BNT15" s="66"/>
      <c r="BNU15" s="66"/>
      <c r="BNV15" s="66"/>
      <c r="BNW15" s="66"/>
      <c r="BNX15" s="66"/>
      <c r="BNY15" s="66"/>
      <c r="BNZ15" s="66"/>
      <c r="BOA15" s="66"/>
      <c r="BOB15" s="66"/>
      <c r="BOC15" s="66"/>
      <c r="BOD15" s="66"/>
      <c r="BOE15" s="66"/>
      <c r="BOF15" s="66"/>
      <c r="BOG15" s="66"/>
      <c r="BOH15" s="66"/>
      <c r="BOI15" s="66"/>
      <c r="BOJ15" s="66"/>
      <c r="BOK15" s="66"/>
      <c r="BOL15" s="66"/>
      <c r="BOM15" s="66"/>
      <c r="BON15" s="66"/>
      <c r="BOO15" s="66"/>
      <c r="BOP15" s="66"/>
      <c r="BOQ15" s="66"/>
      <c r="BOR15" s="66"/>
      <c r="BOS15" s="66"/>
      <c r="BOT15" s="66"/>
      <c r="BOU15" s="66"/>
      <c r="BOV15" s="66"/>
      <c r="BOW15" s="66"/>
      <c r="BOX15" s="66"/>
      <c r="BOY15" s="66"/>
      <c r="BOZ15" s="66"/>
      <c r="BPA15" s="66"/>
      <c r="BPB15" s="66"/>
      <c r="BPC15" s="66"/>
      <c r="BPD15" s="66"/>
      <c r="BPE15" s="66"/>
      <c r="BPF15" s="66"/>
      <c r="BPG15" s="66"/>
      <c r="BPH15" s="66"/>
      <c r="BPI15" s="66"/>
      <c r="BPJ15" s="66"/>
      <c r="BPK15" s="66"/>
      <c r="BPL15" s="66"/>
      <c r="BPM15" s="66"/>
      <c r="BPN15" s="66"/>
      <c r="BPO15" s="66"/>
      <c r="BPP15" s="66"/>
      <c r="BPQ15" s="66"/>
      <c r="BPR15" s="66"/>
      <c r="BPS15" s="66"/>
      <c r="BPT15" s="66"/>
      <c r="BPU15" s="66"/>
      <c r="BPV15" s="66"/>
      <c r="BPW15" s="66"/>
      <c r="BPX15" s="66"/>
      <c r="BPY15" s="66"/>
      <c r="BPZ15" s="66"/>
      <c r="BQA15" s="66"/>
      <c r="BQB15" s="66"/>
      <c r="BQC15" s="66"/>
      <c r="BQD15" s="66"/>
      <c r="BQE15" s="66"/>
      <c r="BQF15" s="66"/>
      <c r="BQG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H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V15" s="66"/>
      <c r="BRW15" s="66"/>
      <c r="BRX15" s="66"/>
      <c r="BRY15" s="66"/>
      <c r="BRZ15" s="66"/>
      <c r="BSA15" s="66"/>
      <c r="BSB15" s="66"/>
      <c r="BSC15" s="66"/>
      <c r="BSD15" s="66"/>
      <c r="BSE15" s="66"/>
      <c r="BSF15" s="66"/>
      <c r="BSG15" s="66"/>
      <c r="BSH15" s="66"/>
      <c r="BSI15" s="66"/>
      <c r="BSJ15" s="66"/>
      <c r="BSK15" s="66"/>
      <c r="BSL15" s="66"/>
      <c r="BSM15" s="66"/>
      <c r="BSN15" s="66"/>
      <c r="BSO15" s="66"/>
      <c r="BSP15" s="66"/>
      <c r="BSQ15" s="66"/>
      <c r="BSR15" s="66"/>
      <c r="BSS15" s="66"/>
      <c r="BST15" s="66"/>
      <c r="BSU15" s="66"/>
      <c r="BSV15" s="66"/>
      <c r="BSW15" s="66"/>
      <c r="BSX15" s="66"/>
      <c r="BSY15" s="66"/>
      <c r="BSZ15" s="66"/>
      <c r="BTA15" s="66"/>
      <c r="BTB15" s="66"/>
      <c r="BTC15" s="66"/>
      <c r="BTD15" s="66"/>
      <c r="BTE15" s="66"/>
      <c r="BTF15" s="66"/>
      <c r="BTG15" s="66"/>
      <c r="BTH15" s="66"/>
      <c r="BTI15" s="66"/>
      <c r="BTJ15" s="66"/>
      <c r="BTK15" s="66"/>
      <c r="BTL15" s="66"/>
      <c r="BTM15" s="66"/>
      <c r="BTN15" s="66"/>
      <c r="BTO15" s="66"/>
      <c r="BTP15" s="66"/>
      <c r="BTQ15" s="66"/>
      <c r="BTR15" s="66"/>
      <c r="BTS15" s="66"/>
      <c r="BTT15" s="66"/>
      <c r="BTU15" s="66"/>
      <c r="BTV15" s="66"/>
      <c r="BTW15" s="66"/>
      <c r="BTX15" s="66"/>
      <c r="BTY15" s="66"/>
      <c r="BTZ15" s="66"/>
      <c r="BUA15" s="66"/>
      <c r="BUB15" s="66"/>
      <c r="BUC15" s="66"/>
      <c r="BUD15" s="66"/>
      <c r="BUE15" s="66"/>
      <c r="BUF15" s="66"/>
      <c r="BUG15" s="66"/>
      <c r="BUH15" s="66"/>
      <c r="BUI15" s="66"/>
      <c r="BUJ15" s="66"/>
      <c r="BUK15" s="66"/>
      <c r="BUL15" s="66"/>
      <c r="BUM15" s="66"/>
      <c r="BUN15" s="66"/>
      <c r="BUO15" s="66"/>
      <c r="BUP15" s="66"/>
      <c r="BUQ15" s="66"/>
      <c r="BUR15" s="66"/>
      <c r="BUS15" s="66"/>
      <c r="BUT15" s="66"/>
      <c r="BUU15" s="66"/>
      <c r="BUV15" s="66"/>
      <c r="BUW15" s="66"/>
      <c r="BUX15" s="66"/>
      <c r="BUY15" s="66"/>
      <c r="BUZ15" s="66"/>
      <c r="BVA15" s="66"/>
      <c r="BVB15" s="66"/>
      <c r="BVC15" s="66"/>
      <c r="BVD15" s="66"/>
      <c r="BVE15" s="66"/>
      <c r="BVF15" s="66"/>
      <c r="BVG15" s="66"/>
      <c r="BVH15" s="66"/>
      <c r="BVI15" s="66"/>
      <c r="BVJ15" s="66"/>
      <c r="BVK15" s="66"/>
      <c r="BVL15" s="66"/>
      <c r="BVM15" s="66"/>
      <c r="BVN15" s="66"/>
      <c r="BVO15" s="66"/>
      <c r="BVP15" s="66"/>
      <c r="BVQ15" s="66"/>
      <c r="BVR15" s="66"/>
      <c r="BVS15" s="66"/>
      <c r="BVT15" s="66"/>
      <c r="BVU15" s="66"/>
      <c r="BVV15" s="66"/>
      <c r="BVW15" s="66"/>
      <c r="BVX15" s="66"/>
      <c r="BVY15" s="66"/>
      <c r="BVZ15" s="66"/>
      <c r="BWA15" s="66"/>
      <c r="BWB15" s="66"/>
      <c r="BWC15" s="66"/>
      <c r="BWD15" s="66"/>
      <c r="BWE15" s="66"/>
      <c r="BWF15" s="66"/>
      <c r="BWG15" s="66"/>
      <c r="BWH15" s="66"/>
      <c r="BWI15" s="66"/>
      <c r="BWJ15" s="66"/>
      <c r="BWK15" s="66"/>
      <c r="BWL15" s="66"/>
      <c r="BWM15" s="66"/>
      <c r="BWN15" s="66"/>
      <c r="BWO15" s="66"/>
      <c r="BWP15" s="66"/>
      <c r="BWQ15" s="66"/>
      <c r="BWR15" s="66"/>
      <c r="BWS15" s="66"/>
      <c r="BWT15" s="66"/>
      <c r="BWU15" s="66"/>
      <c r="BWV15" s="66"/>
      <c r="BWW15" s="66"/>
      <c r="BWX15" s="66"/>
      <c r="BWY15" s="66"/>
      <c r="BWZ15" s="66"/>
      <c r="BXA15" s="66"/>
      <c r="BXB15" s="66"/>
      <c r="BXC15" s="66"/>
      <c r="BXD15" s="66"/>
      <c r="BXE15" s="66"/>
      <c r="BXF15" s="66"/>
      <c r="BXG15" s="66"/>
      <c r="BXH15" s="66"/>
      <c r="BXI15" s="66"/>
      <c r="BXJ15" s="66"/>
      <c r="BXK15" s="66"/>
      <c r="BXL15" s="66"/>
      <c r="BXM15" s="66"/>
      <c r="BXN15" s="66"/>
      <c r="BXO15" s="66"/>
      <c r="BXP15" s="66"/>
      <c r="BXQ15" s="66"/>
      <c r="BXR15" s="66"/>
      <c r="BXS15" s="66"/>
      <c r="BXT15" s="66"/>
      <c r="BXU15" s="66"/>
      <c r="BXV15" s="66"/>
      <c r="BXW15" s="66"/>
      <c r="BXX15" s="66"/>
      <c r="BXY15" s="66"/>
      <c r="BXZ15" s="66"/>
      <c r="BYA15" s="66"/>
      <c r="BYB15" s="66"/>
      <c r="BYC15" s="66"/>
      <c r="BYD15" s="66"/>
      <c r="BYE15" s="66"/>
      <c r="BYF15" s="66"/>
      <c r="BYG15" s="66"/>
      <c r="BYH15" s="66"/>
      <c r="BYI15" s="66"/>
      <c r="BYJ15" s="66"/>
      <c r="BYK15" s="66"/>
      <c r="BYL15" s="66"/>
      <c r="BYM15" s="66"/>
      <c r="BYN15" s="66"/>
      <c r="BYO15" s="66"/>
      <c r="BYP15" s="66"/>
      <c r="BYQ15" s="66"/>
      <c r="BYR15" s="66"/>
      <c r="BYS15" s="66"/>
      <c r="BYT15" s="66"/>
      <c r="BYU15" s="66"/>
      <c r="BYV15" s="66"/>
      <c r="BYW15" s="66"/>
      <c r="BYX15" s="66"/>
      <c r="BYY15" s="66"/>
      <c r="BYZ15" s="66"/>
      <c r="BZA15" s="66"/>
      <c r="BZB15" s="66"/>
      <c r="BZC15" s="66"/>
      <c r="BZD15" s="66"/>
      <c r="BZE15" s="66"/>
      <c r="BZF15" s="66"/>
      <c r="BZG15" s="66"/>
      <c r="BZH15" s="66"/>
      <c r="BZI15" s="66"/>
      <c r="BZJ15" s="66"/>
      <c r="BZK15" s="66"/>
      <c r="BZL15" s="66"/>
      <c r="BZM15" s="66"/>
      <c r="BZN15" s="66"/>
      <c r="BZO15" s="66"/>
      <c r="BZP15" s="66"/>
      <c r="BZQ15" s="66"/>
      <c r="BZR15" s="66"/>
      <c r="BZS15" s="66"/>
      <c r="BZT15" s="66"/>
      <c r="BZU15" s="66"/>
      <c r="BZV15" s="66"/>
      <c r="BZW15" s="66"/>
      <c r="BZX15" s="66"/>
      <c r="BZY15" s="66"/>
      <c r="BZZ15" s="66"/>
      <c r="CAA15" s="66"/>
      <c r="CAB15" s="66"/>
      <c r="CAC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D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R15" s="66"/>
      <c r="CBS15" s="66"/>
      <c r="CBT15" s="66"/>
      <c r="CBU15" s="66"/>
      <c r="CBV15" s="66"/>
      <c r="CBW15" s="66"/>
      <c r="CBX15" s="66"/>
      <c r="CBY15" s="66"/>
      <c r="CBZ15" s="66"/>
      <c r="CCA15" s="66"/>
      <c r="CCB15" s="66"/>
      <c r="CCC15" s="66"/>
      <c r="CCD15" s="66"/>
      <c r="CCE15" s="66"/>
      <c r="CCF15" s="66"/>
      <c r="CCG15" s="66"/>
      <c r="CCH15" s="66"/>
      <c r="CCI15" s="66"/>
      <c r="CCJ15" s="66"/>
      <c r="CCK15" s="66"/>
      <c r="CCL15" s="66"/>
      <c r="CCM15" s="66"/>
      <c r="CCN15" s="66"/>
      <c r="CCO15" s="66"/>
      <c r="CCP15" s="66"/>
      <c r="CCQ15" s="66"/>
      <c r="CCR15" s="66"/>
      <c r="CCS15" s="66"/>
      <c r="CCT15" s="66"/>
      <c r="CCU15" s="66"/>
      <c r="CCV15" s="66"/>
      <c r="CCW15" s="66"/>
      <c r="CCX15" s="66"/>
      <c r="CCY15" s="66"/>
      <c r="CCZ15" s="66"/>
      <c r="CDA15" s="66"/>
      <c r="CDB15" s="66"/>
      <c r="CDC15" s="66"/>
      <c r="CDD15" s="66"/>
      <c r="CDE15" s="66"/>
      <c r="CDF15" s="66"/>
      <c r="CDG15" s="66"/>
      <c r="CDH15" s="66"/>
      <c r="CDI15" s="66"/>
      <c r="CDJ15" s="66"/>
      <c r="CDK15" s="66"/>
      <c r="CDL15" s="66"/>
      <c r="CDM15" s="66"/>
      <c r="CDN15" s="66"/>
      <c r="CDO15" s="66"/>
      <c r="CDP15" s="66"/>
      <c r="CDQ15" s="66"/>
      <c r="CDR15" s="66"/>
      <c r="CDS15" s="66"/>
      <c r="CDT15" s="66"/>
      <c r="CDU15" s="66"/>
      <c r="CDV15" s="66"/>
      <c r="CDW15" s="66"/>
      <c r="CDX15" s="66"/>
      <c r="CDY15" s="66"/>
      <c r="CDZ15" s="66"/>
      <c r="CEA15" s="66"/>
      <c r="CEB15" s="66"/>
      <c r="CEC15" s="66"/>
      <c r="CED15" s="66"/>
      <c r="CEE15" s="66"/>
      <c r="CEF15" s="66"/>
      <c r="CEG15" s="66"/>
      <c r="CEH15" s="66"/>
      <c r="CEI15" s="66"/>
      <c r="CEJ15" s="66"/>
      <c r="CEK15" s="66"/>
      <c r="CEL15" s="66"/>
      <c r="CEM15" s="66"/>
      <c r="CEN15" s="66"/>
      <c r="CEO15" s="66"/>
      <c r="CEP15" s="66"/>
      <c r="CEQ15" s="66"/>
      <c r="CER15" s="66"/>
      <c r="CES15" s="66"/>
      <c r="CET15" s="66"/>
      <c r="CEU15" s="66"/>
      <c r="CEV15" s="66"/>
      <c r="CEW15" s="66"/>
      <c r="CEX15" s="66"/>
      <c r="CEY15" s="66"/>
      <c r="CEZ15" s="66"/>
      <c r="CFA15" s="66"/>
      <c r="CFB15" s="66"/>
      <c r="CFC15" s="66"/>
      <c r="CFD15" s="66"/>
      <c r="CFE15" s="66"/>
      <c r="CFF15" s="66"/>
      <c r="CFG15" s="66"/>
      <c r="CFH15" s="66"/>
      <c r="CFI15" s="66"/>
      <c r="CFJ15" s="66"/>
      <c r="CFK15" s="66"/>
      <c r="CFL15" s="66"/>
      <c r="CFM15" s="66"/>
      <c r="CFN15" s="66"/>
      <c r="CFO15" s="66"/>
      <c r="CFP15" s="66"/>
      <c r="CFQ15" s="66"/>
      <c r="CFR15" s="66"/>
      <c r="CFS15" s="66"/>
      <c r="CFT15" s="66"/>
      <c r="CFU15" s="66"/>
      <c r="CFV15" s="66"/>
      <c r="CFW15" s="66"/>
      <c r="CFX15" s="66"/>
      <c r="CFY15" s="66"/>
      <c r="CFZ15" s="66"/>
      <c r="CGA15" s="66"/>
      <c r="CGB15" s="66"/>
      <c r="CGC15" s="66"/>
      <c r="CGD15" s="66"/>
      <c r="CGE15" s="66"/>
      <c r="CGF15" s="66"/>
      <c r="CGG15" s="66"/>
      <c r="CGH15" s="66"/>
      <c r="CGI15" s="66"/>
      <c r="CGJ15" s="66"/>
      <c r="CGK15" s="66"/>
      <c r="CGL15" s="66"/>
      <c r="CGM15" s="66"/>
      <c r="CGN15" s="66"/>
      <c r="CGO15" s="66"/>
      <c r="CGP15" s="66"/>
      <c r="CGQ15" s="66"/>
      <c r="CGR15" s="66"/>
      <c r="CGS15" s="66"/>
      <c r="CGT15" s="66"/>
      <c r="CGU15" s="66"/>
      <c r="CGV15" s="66"/>
      <c r="CGW15" s="66"/>
      <c r="CGX15" s="66"/>
      <c r="CGY15" s="66"/>
      <c r="CGZ15" s="66"/>
      <c r="CHA15" s="66"/>
      <c r="CHB15" s="66"/>
      <c r="CHC15" s="66"/>
      <c r="CHD15" s="66"/>
      <c r="CHE15" s="66"/>
      <c r="CHF15" s="66"/>
      <c r="CHG15" s="66"/>
      <c r="CHH15" s="66"/>
      <c r="CHI15" s="66"/>
      <c r="CHJ15" s="66"/>
      <c r="CHK15" s="66"/>
      <c r="CHL15" s="66"/>
      <c r="CHM15" s="66"/>
      <c r="CHN15" s="66"/>
      <c r="CHO15" s="66"/>
      <c r="CHP15" s="66"/>
      <c r="CHQ15" s="66"/>
      <c r="CHR15" s="66"/>
      <c r="CHS15" s="66"/>
      <c r="CHT15" s="66"/>
      <c r="CHU15" s="66"/>
      <c r="CHV15" s="66"/>
      <c r="CHW15" s="66"/>
      <c r="CHX15" s="66"/>
      <c r="CHY15" s="66"/>
      <c r="CHZ15" s="66"/>
      <c r="CIA15" s="66"/>
      <c r="CIB15" s="66"/>
      <c r="CIC15" s="66"/>
      <c r="CID15" s="66"/>
      <c r="CIE15" s="66"/>
      <c r="CIF15" s="66"/>
      <c r="CIG15" s="66"/>
      <c r="CIH15" s="66"/>
      <c r="CII15" s="66"/>
      <c r="CIJ15" s="66"/>
      <c r="CIK15" s="66"/>
      <c r="CIL15" s="66"/>
      <c r="CIM15" s="66"/>
      <c r="CIN15" s="66"/>
      <c r="CIO15" s="66"/>
      <c r="CIP15" s="66"/>
      <c r="CIQ15" s="66"/>
      <c r="CIR15" s="66"/>
      <c r="CIS15" s="66"/>
      <c r="CIT15" s="66"/>
      <c r="CIU15" s="66"/>
      <c r="CIV15" s="66"/>
      <c r="CIW15" s="66"/>
      <c r="CIX15" s="66"/>
      <c r="CIY15" s="66"/>
      <c r="CIZ15" s="66"/>
      <c r="CJA15" s="66"/>
      <c r="CJB15" s="66"/>
      <c r="CJC15" s="66"/>
      <c r="CJD15" s="66"/>
      <c r="CJE15" s="66"/>
      <c r="CJF15" s="66"/>
      <c r="CJG15" s="66"/>
      <c r="CJH15" s="66"/>
      <c r="CJI15" s="66"/>
      <c r="CJJ15" s="66"/>
      <c r="CJK15" s="66"/>
      <c r="CJL15" s="66"/>
      <c r="CJM15" s="66"/>
      <c r="CJN15" s="66"/>
      <c r="CJO15" s="66"/>
      <c r="CJP15" s="66"/>
      <c r="CJQ15" s="66"/>
      <c r="CJR15" s="66"/>
      <c r="CJS15" s="66"/>
      <c r="CJT15" s="66"/>
      <c r="CJU15" s="66"/>
      <c r="CJV15" s="66"/>
      <c r="CJW15" s="66"/>
      <c r="CJX15" s="66"/>
      <c r="CJY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KZ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N15" s="66"/>
      <c r="CLO15" s="66"/>
      <c r="CLP15" s="66"/>
      <c r="CLQ15" s="66"/>
      <c r="CLR15" s="66"/>
      <c r="CLS15" s="66"/>
      <c r="CLT15" s="66"/>
      <c r="CLU15" s="66"/>
      <c r="CLV15" s="66"/>
      <c r="CLW15" s="66"/>
      <c r="CLX15" s="66"/>
      <c r="CLY15" s="66"/>
      <c r="CLZ15" s="66"/>
      <c r="CMA15" s="66"/>
      <c r="CMB15" s="66"/>
      <c r="CMC15" s="66"/>
      <c r="CMD15" s="66"/>
      <c r="CME15" s="66"/>
      <c r="CMF15" s="66"/>
      <c r="CMG15" s="66"/>
      <c r="CMH15" s="66"/>
      <c r="CMI15" s="66"/>
      <c r="CMJ15" s="66"/>
      <c r="CMK15" s="66"/>
      <c r="CML15" s="66"/>
      <c r="CMM15" s="66"/>
      <c r="CMN15" s="66"/>
      <c r="CMO15" s="66"/>
      <c r="CMP15" s="66"/>
      <c r="CMQ15" s="66"/>
      <c r="CMR15" s="66"/>
      <c r="CMS15" s="66"/>
      <c r="CMT15" s="66"/>
      <c r="CMU15" s="66"/>
      <c r="CMV15" s="66"/>
      <c r="CMW15" s="66"/>
      <c r="CMX15" s="66"/>
      <c r="CMY15" s="66"/>
      <c r="CMZ15" s="66"/>
      <c r="CNA15" s="66"/>
      <c r="CNB15" s="66"/>
      <c r="CNC15" s="66"/>
      <c r="CND15" s="66"/>
      <c r="CNE15" s="66"/>
      <c r="CNF15" s="66"/>
      <c r="CNG15" s="66"/>
      <c r="CNH15" s="66"/>
      <c r="CNI15" s="66"/>
      <c r="CNJ15" s="66"/>
      <c r="CNK15" s="66"/>
      <c r="CNL15" s="66"/>
      <c r="CNM15" s="66"/>
      <c r="CNN15" s="66"/>
      <c r="CNO15" s="66"/>
      <c r="CNP15" s="66"/>
      <c r="CNQ15" s="66"/>
      <c r="CNR15" s="66"/>
      <c r="CNS15" s="66"/>
      <c r="CNT15" s="66"/>
      <c r="CNU15" s="66"/>
      <c r="CNV15" s="66"/>
      <c r="CNW15" s="66"/>
      <c r="CNX15" s="66"/>
      <c r="CNY15" s="66"/>
      <c r="CNZ15" s="66"/>
      <c r="COA15" s="66"/>
      <c r="COB15" s="66"/>
      <c r="COC15" s="66"/>
      <c r="COD15" s="66"/>
      <c r="COE15" s="66"/>
      <c r="COF15" s="66"/>
      <c r="COG15" s="66"/>
      <c r="COH15" s="66"/>
      <c r="COI15" s="66"/>
      <c r="COJ15" s="66"/>
      <c r="COK15" s="66"/>
      <c r="COL15" s="66"/>
      <c r="COM15" s="66"/>
      <c r="CON15" s="66"/>
      <c r="COO15" s="66"/>
      <c r="COP15" s="66"/>
      <c r="COQ15" s="66"/>
      <c r="COR15" s="66"/>
      <c r="COS15" s="66"/>
      <c r="COT15" s="66"/>
      <c r="COU15" s="66"/>
      <c r="COV15" s="66"/>
      <c r="COW15" s="66"/>
      <c r="COX15" s="66"/>
      <c r="COY15" s="66"/>
      <c r="COZ15" s="66"/>
      <c r="CPA15" s="66"/>
      <c r="CPB15" s="66"/>
      <c r="CPC15" s="66"/>
      <c r="CPD15" s="66"/>
      <c r="CPE15" s="66"/>
      <c r="CPF15" s="66"/>
      <c r="CPG15" s="66"/>
      <c r="CPH15" s="66"/>
      <c r="CPI15" s="66"/>
      <c r="CPJ15" s="66"/>
      <c r="CPK15" s="66"/>
      <c r="CPL15" s="66"/>
      <c r="CPM15" s="66"/>
      <c r="CPN15" s="66"/>
      <c r="CPO15" s="66"/>
      <c r="CPP15" s="66"/>
      <c r="CPQ15" s="66"/>
      <c r="CPR15" s="66"/>
      <c r="CPS15" s="66"/>
      <c r="CPT15" s="66"/>
      <c r="CPU15" s="66"/>
      <c r="CPV15" s="66"/>
      <c r="CPW15" s="66"/>
      <c r="CPX15" s="66"/>
      <c r="CPY15" s="66"/>
      <c r="CPZ15" s="66"/>
      <c r="CQA15" s="66"/>
      <c r="CQB15" s="66"/>
      <c r="CQC15" s="66"/>
      <c r="CQD15" s="66"/>
      <c r="CQE15" s="66"/>
      <c r="CQF15" s="66"/>
      <c r="CQG15" s="66"/>
      <c r="CQH15" s="66"/>
      <c r="CQI15" s="66"/>
      <c r="CQJ15" s="66"/>
      <c r="CQK15" s="66"/>
      <c r="CQL15" s="66"/>
      <c r="CQM15" s="66"/>
      <c r="CQN15" s="66"/>
      <c r="CQO15" s="66"/>
      <c r="CQP15" s="66"/>
      <c r="CQQ15" s="66"/>
      <c r="CQR15" s="66"/>
      <c r="CQS15" s="66"/>
      <c r="CQT15" s="66"/>
      <c r="CQU15" s="66"/>
      <c r="CQV15" s="66"/>
      <c r="CQW15" s="66"/>
      <c r="CQX15" s="66"/>
      <c r="CQY15" s="66"/>
      <c r="CQZ15" s="66"/>
      <c r="CRA15" s="66"/>
      <c r="CRB15" s="66"/>
      <c r="CRC15" s="66"/>
      <c r="CRD15" s="66"/>
      <c r="CRE15" s="66"/>
      <c r="CRF15" s="66"/>
      <c r="CRG15" s="66"/>
      <c r="CRH15" s="66"/>
      <c r="CRI15" s="66"/>
      <c r="CRJ15" s="66"/>
      <c r="CRK15" s="66"/>
      <c r="CRL15" s="66"/>
      <c r="CRM15" s="66"/>
      <c r="CRN15" s="66"/>
      <c r="CRO15" s="66"/>
      <c r="CRP15" s="66"/>
      <c r="CRQ15" s="66"/>
      <c r="CRR15" s="66"/>
      <c r="CRS15" s="66"/>
      <c r="CRT15" s="66"/>
      <c r="CRU15" s="66"/>
      <c r="CRV15" s="66"/>
      <c r="CRW15" s="66"/>
      <c r="CRX15" s="66"/>
      <c r="CRY15" s="66"/>
      <c r="CRZ15" s="66"/>
      <c r="CSA15" s="66"/>
      <c r="CSB15" s="66"/>
      <c r="CSC15" s="66"/>
      <c r="CSD15" s="66"/>
      <c r="CSE15" s="66"/>
      <c r="CSF15" s="66"/>
      <c r="CSG15" s="66"/>
      <c r="CSH15" s="66"/>
      <c r="CSI15" s="66"/>
      <c r="CSJ15" s="66"/>
      <c r="CSK15" s="66"/>
      <c r="CSL15" s="66"/>
      <c r="CSM15" s="66"/>
      <c r="CSN15" s="66"/>
      <c r="CSO15" s="66"/>
      <c r="CSP15" s="66"/>
      <c r="CSQ15" s="66"/>
      <c r="CSR15" s="66"/>
      <c r="CSS15" s="66"/>
      <c r="CST15" s="66"/>
      <c r="CSU15" s="66"/>
      <c r="CSV15" s="66"/>
      <c r="CSW15" s="66"/>
      <c r="CSX15" s="66"/>
      <c r="CSY15" s="66"/>
      <c r="CSZ15" s="66"/>
      <c r="CTA15" s="66"/>
      <c r="CTB15" s="66"/>
      <c r="CTC15" s="66"/>
      <c r="CTD15" s="66"/>
      <c r="CTE15" s="66"/>
      <c r="CTF15" s="66"/>
      <c r="CTG15" s="66"/>
      <c r="CTH15" s="66"/>
      <c r="CTI15" s="66"/>
      <c r="CTJ15" s="66"/>
      <c r="CTK15" s="66"/>
      <c r="CTL15" s="66"/>
      <c r="CTM15" s="66"/>
      <c r="CTN15" s="66"/>
      <c r="CTO15" s="66"/>
      <c r="CTP15" s="66"/>
      <c r="CTQ15" s="66"/>
      <c r="CTR15" s="66"/>
      <c r="CTS15" s="66"/>
      <c r="CTT15" s="66"/>
      <c r="CTU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V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J15" s="66"/>
      <c r="CVK15" s="66"/>
      <c r="CVL15" s="66"/>
      <c r="CVM15" s="66"/>
      <c r="CVN15" s="66"/>
      <c r="CVO15" s="66"/>
      <c r="CVP15" s="66"/>
      <c r="CVQ15" s="66"/>
      <c r="CVR15" s="66"/>
      <c r="CVS15" s="66"/>
      <c r="CVT15" s="66"/>
      <c r="CVU15" s="66"/>
      <c r="CVV15" s="66"/>
      <c r="CVW15" s="66"/>
      <c r="CVX15" s="66"/>
      <c r="CVY15" s="66"/>
      <c r="CVZ15" s="66"/>
      <c r="CWA15" s="66"/>
      <c r="CWB15" s="66"/>
      <c r="CWC15" s="66"/>
      <c r="CWD15" s="66"/>
      <c r="CWE15" s="66"/>
      <c r="CWF15" s="66"/>
      <c r="CWG15" s="66"/>
      <c r="CWH15" s="66"/>
      <c r="CWI15" s="66"/>
      <c r="CWJ15" s="66"/>
      <c r="CWK15" s="66"/>
      <c r="CWL15" s="66"/>
      <c r="CWM15" s="66"/>
      <c r="CWN15" s="66"/>
      <c r="CWO15" s="66"/>
      <c r="CWP15" s="66"/>
      <c r="CWQ15" s="66"/>
      <c r="CWR15" s="66"/>
      <c r="CWS15" s="66"/>
      <c r="CWT15" s="66"/>
      <c r="CWU15" s="66"/>
      <c r="CWV15" s="66"/>
      <c r="CWW15" s="66"/>
      <c r="CWX15" s="66"/>
      <c r="CWY15" s="66"/>
      <c r="CWZ15" s="66"/>
      <c r="CXA15" s="66"/>
      <c r="CXB15" s="66"/>
      <c r="CXC15" s="66"/>
      <c r="CXD15" s="66"/>
      <c r="CXE15" s="66"/>
      <c r="CXF15" s="66"/>
      <c r="CXG15" s="66"/>
      <c r="CXH15" s="66"/>
      <c r="CXI15" s="66"/>
      <c r="CXJ15" s="66"/>
      <c r="CXK15" s="66"/>
      <c r="CXL15" s="66"/>
      <c r="CXM15" s="66"/>
      <c r="CXN15" s="66"/>
      <c r="CXO15" s="66"/>
      <c r="CXP15" s="66"/>
      <c r="CXQ15" s="66"/>
      <c r="CXR15" s="66"/>
      <c r="CXS15" s="66"/>
      <c r="CXT15" s="66"/>
      <c r="CXU15" s="66"/>
      <c r="CXV15" s="66"/>
      <c r="CXW15" s="66"/>
      <c r="CXX15" s="66"/>
      <c r="CXY15" s="66"/>
      <c r="CXZ15" s="66"/>
      <c r="CYA15" s="66"/>
      <c r="CYB15" s="66"/>
      <c r="CYC15" s="66"/>
      <c r="CYD15" s="66"/>
      <c r="CYE15" s="66"/>
      <c r="CYF15" s="66"/>
      <c r="CYG15" s="66"/>
      <c r="CYH15" s="66"/>
      <c r="CYI15" s="66"/>
      <c r="CYJ15" s="66"/>
      <c r="CYK15" s="66"/>
      <c r="CYL15" s="66"/>
      <c r="CYM15" s="66"/>
      <c r="CYN15" s="66"/>
      <c r="CYO15" s="66"/>
      <c r="CYP15" s="66"/>
      <c r="CYQ15" s="66"/>
      <c r="CYR15" s="66"/>
      <c r="CYS15" s="66"/>
      <c r="CYT15" s="66"/>
      <c r="CYU15" s="66"/>
      <c r="CYV15" s="66"/>
      <c r="CYW15" s="66"/>
      <c r="CYX15" s="66"/>
      <c r="CYY15" s="66"/>
      <c r="CYZ15" s="66"/>
      <c r="CZA15" s="66"/>
      <c r="CZB15" s="66"/>
      <c r="CZC15" s="66"/>
      <c r="CZD15" s="66"/>
      <c r="CZE15" s="66"/>
      <c r="CZF15" s="66"/>
      <c r="CZG15" s="66"/>
      <c r="CZH15" s="66"/>
      <c r="CZI15" s="66"/>
      <c r="CZJ15" s="66"/>
      <c r="CZK15" s="66"/>
      <c r="CZL15" s="66"/>
      <c r="CZM15" s="66"/>
      <c r="CZN15" s="66"/>
      <c r="CZO15" s="66"/>
      <c r="CZP15" s="66"/>
      <c r="CZQ15" s="66"/>
      <c r="CZR15" s="66"/>
      <c r="CZS15" s="66"/>
      <c r="CZT15" s="66"/>
      <c r="CZU15" s="66"/>
      <c r="CZV15" s="66"/>
      <c r="CZW15" s="66"/>
      <c r="CZX15" s="66"/>
      <c r="CZY15" s="66"/>
      <c r="CZZ15" s="66"/>
      <c r="DAA15" s="66"/>
      <c r="DAB15" s="66"/>
      <c r="DAC15" s="66"/>
      <c r="DAD15" s="66"/>
      <c r="DAE15" s="66"/>
      <c r="DAF15" s="66"/>
      <c r="DAG15" s="66"/>
      <c r="DAH15" s="66"/>
      <c r="DAI15" s="66"/>
      <c r="DAJ15" s="66"/>
      <c r="DAK15" s="66"/>
      <c r="DAL15" s="66"/>
      <c r="DAM15" s="66"/>
      <c r="DAN15" s="66"/>
      <c r="DAO15" s="66"/>
      <c r="DAP15" s="66"/>
      <c r="DAQ15" s="66"/>
      <c r="DAR15" s="66"/>
      <c r="DAS15" s="66"/>
      <c r="DAT15" s="66"/>
      <c r="DAU15" s="66"/>
      <c r="DAV15" s="66"/>
      <c r="DAW15" s="66"/>
      <c r="DAX15" s="66"/>
      <c r="DAY15" s="66"/>
      <c r="DAZ15" s="66"/>
      <c r="DBA15" s="66"/>
      <c r="DBB15" s="66"/>
      <c r="DBC15" s="66"/>
      <c r="DBD15" s="66"/>
      <c r="DBE15" s="66"/>
      <c r="DBF15" s="66"/>
      <c r="DBG15" s="66"/>
      <c r="DBH15" s="66"/>
      <c r="DBI15" s="66"/>
      <c r="DBJ15" s="66"/>
      <c r="DBK15" s="66"/>
      <c r="DBL15" s="66"/>
      <c r="DBM15" s="66"/>
      <c r="DBN15" s="66"/>
      <c r="DBO15" s="66"/>
      <c r="DBP15" s="66"/>
      <c r="DBQ15" s="66"/>
      <c r="DBR15" s="66"/>
      <c r="DBS15" s="66"/>
      <c r="DBT15" s="66"/>
      <c r="DBU15" s="66"/>
      <c r="DBV15" s="66"/>
      <c r="DBW15" s="66"/>
      <c r="DBX15" s="66"/>
      <c r="DBY15" s="66"/>
      <c r="DBZ15" s="66"/>
      <c r="DCA15" s="66"/>
      <c r="DCB15" s="66"/>
      <c r="DCC15" s="66"/>
      <c r="DCD15" s="66"/>
      <c r="DCE15" s="66"/>
      <c r="DCF15" s="66"/>
      <c r="DCG15" s="66"/>
      <c r="DCH15" s="66"/>
      <c r="DCI15" s="66"/>
      <c r="DCJ15" s="66"/>
      <c r="DCK15" s="66"/>
      <c r="DCL15" s="66"/>
      <c r="DCM15" s="66"/>
      <c r="DCN15" s="66"/>
      <c r="DCO15" s="66"/>
      <c r="DCP15" s="66"/>
      <c r="DCQ15" s="66"/>
      <c r="DCR15" s="66"/>
      <c r="DCS15" s="66"/>
      <c r="DCT15" s="66"/>
      <c r="DCU15" s="66"/>
      <c r="DCV15" s="66"/>
      <c r="DCW15" s="66"/>
      <c r="DCX15" s="66"/>
      <c r="DCY15" s="66"/>
      <c r="DCZ15" s="66"/>
      <c r="DDA15" s="66"/>
      <c r="DDB15" s="66"/>
      <c r="DDC15" s="66"/>
      <c r="DDD15" s="66"/>
      <c r="DDE15" s="66"/>
      <c r="DDF15" s="66"/>
      <c r="DDG15" s="66"/>
      <c r="DDH15" s="66"/>
      <c r="DDI15" s="66"/>
      <c r="DDJ15" s="66"/>
      <c r="DDK15" s="66"/>
      <c r="DDL15" s="66"/>
      <c r="DDM15" s="66"/>
      <c r="DDN15" s="66"/>
      <c r="DDO15" s="66"/>
      <c r="DDP15" s="66"/>
      <c r="DDQ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R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F15" s="66"/>
      <c r="DFG15" s="66"/>
      <c r="DFH15" s="66"/>
      <c r="DFI15" s="66"/>
      <c r="DFJ15" s="66"/>
      <c r="DFK15" s="66"/>
      <c r="DFL15" s="66"/>
      <c r="DFM15" s="66"/>
      <c r="DFN15" s="66"/>
      <c r="DFO15" s="66"/>
      <c r="DFP15" s="66"/>
      <c r="DFQ15" s="66"/>
      <c r="DFR15" s="66"/>
      <c r="DFS15" s="66"/>
      <c r="DFT15" s="66"/>
      <c r="DFU15" s="66"/>
      <c r="DFV15" s="66"/>
      <c r="DFW15" s="66"/>
      <c r="DFX15" s="66"/>
      <c r="DFY15" s="66"/>
      <c r="DFZ15" s="66"/>
      <c r="DGA15" s="66"/>
      <c r="DGB15" s="66"/>
      <c r="DGC15" s="66"/>
      <c r="DGD15" s="66"/>
      <c r="DGE15" s="66"/>
      <c r="DGF15" s="66"/>
      <c r="DGG15" s="66"/>
      <c r="DGH15" s="66"/>
      <c r="DGI15" s="66"/>
      <c r="DGJ15" s="66"/>
      <c r="DGK15" s="66"/>
      <c r="DGL15" s="66"/>
      <c r="DGM15" s="66"/>
      <c r="DGN15" s="66"/>
      <c r="DGO15" s="66"/>
      <c r="DGP15" s="66"/>
      <c r="DGQ15" s="66"/>
      <c r="DGR15" s="66"/>
      <c r="DGS15" s="66"/>
      <c r="DGT15" s="66"/>
      <c r="DGU15" s="66"/>
      <c r="DGV15" s="66"/>
      <c r="DGW15" s="66"/>
      <c r="DGX15" s="66"/>
      <c r="DGY15" s="66"/>
      <c r="DGZ15" s="66"/>
      <c r="DHA15" s="66"/>
      <c r="DHB15" s="66"/>
      <c r="DHC15" s="66"/>
      <c r="DHD15" s="66"/>
      <c r="DHE15" s="66"/>
      <c r="DHF15" s="66"/>
      <c r="DHG15" s="66"/>
      <c r="DHH15" s="66"/>
      <c r="DHI15" s="66"/>
      <c r="DHJ15" s="66"/>
      <c r="DHK15" s="66"/>
      <c r="DHL15" s="66"/>
      <c r="DHM15" s="66"/>
      <c r="DHN15" s="66"/>
      <c r="DHO15" s="66"/>
      <c r="DHP15" s="66"/>
      <c r="DHQ15" s="66"/>
      <c r="DHR15" s="66"/>
      <c r="DHS15" s="66"/>
      <c r="DHT15" s="66"/>
      <c r="DHU15" s="66"/>
      <c r="DHV15" s="66"/>
      <c r="DHW15" s="66"/>
      <c r="DHX15" s="66"/>
      <c r="DHY15" s="66"/>
      <c r="DHZ15" s="66"/>
      <c r="DIA15" s="66"/>
      <c r="DIB15" s="66"/>
      <c r="DIC15" s="66"/>
      <c r="DID15" s="66"/>
      <c r="DIE15" s="66"/>
      <c r="DIF15" s="66"/>
      <c r="DIG15" s="66"/>
      <c r="DIH15" s="66"/>
      <c r="DII15" s="66"/>
      <c r="DIJ15" s="66"/>
      <c r="DIK15" s="66"/>
      <c r="DIL15" s="66"/>
      <c r="DIM15" s="66"/>
      <c r="DIN15" s="66"/>
      <c r="DIO15" s="66"/>
      <c r="DIP15" s="66"/>
      <c r="DIQ15" s="66"/>
      <c r="DIR15" s="66"/>
      <c r="DIS15" s="66"/>
      <c r="DIT15" s="66"/>
      <c r="DIU15" s="66"/>
      <c r="DIV15" s="66"/>
      <c r="DIW15" s="66"/>
      <c r="DIX15" s="66"/>
      <c r="DIY15" s="66"/>
      <c r="DIZ15" s="66"/>
      <c r="DJA15" s="66"/>
      <c r="DJB15" s="66"/>
      <c r="DJC15" s="66"/>
      <c r="DJD15" s="66"/>
      <c r="DJE15" s="66"/>
      <c r="DJF15" s="66"/>
      <c r="DJG15" s="66"/>
      <c r="DJH15" s="66"/>
      <c r="DJI15" s="66"/>
      <c r="DJJ15" s="66"/>
      <c r="DJK15" s="66"/>
      <c r="DJL15" s="66"/>
      <c r="DJM15" s="66"/>
      <c r="DJN15" s="66"/>
      <c r="DJO15" s="66"/>
      <c r="DJP15" s="66"/>
      <c r="DJQ15" s="66"/>
      <c r="DJR15" s="66"/>
      <c r="DJS15" s="66"/>
      <c r="DJT15" s="66"/>
      <c r="DJU15" s="66"/>
      <c r="DJV15" s="66"/>
      <c r="DJW15" s="66"/>
      <c r="DJX15" s="66"/>
      <c r="DJY15" s="66"/>
      <c r="DJZ15" s="66"/>
      <c r="DKA15" s="66"/>
      <c r="DKB15" s="66"/>
      <c r="DKC15" s="66"/>
      <c r="DKD15" s="66"/>
      <c r="DKE15" s="66"/>
      <c r="DKF15" s="66"/>
      <c r="DKG15" s="66"/>
      <c r="DKH15" s="66"/>
      <c r="DKI15" s="66"/>
      <c r="DKJ15" s="66"/>
      <c r="DKK15" s="66"/>
      <c r="DKL15" s="66"/>
      <c r="DKM15" s="66"/>
      <c r="DKN15" s="66"/>
      <c r="DKO15" s="66"/>
      <c r="DKP15" s="66"/>
      <c r="DKQ15" s="66"/>
      <c r="DKR15" s="66"/>
      <c r="DKS15" s="66"/>
      <c r="DKT15" s="66"/>
      <c r="DKU15" s="66"/>
      <c r="DKV15" s="66"/>
      <c r="DKW15" s="66"/>
      <c r="DKX15" s="66"/>
      <c r="DKY15" s="66"/>
      <c r="DKZ15" s="66"/>
      <c r="DLA15" s="66"/>
      <c r="DLB15" s="66"/>
      <c r="DLC15" s="66"/>
      <c r="DLD15" s="66"/>
      <c r="DLE15" s="66"/>
      <c r="DLF15" s="66"/>
      <c r="DLG15" s="66"/>
      <c r="DLH15" s="66"/>
      <c r="DLI15" s="66"/>
      <c r="DLJ15" s="66"/>
      <c r="DLK15" s="66"/>
      <c r="DLL15" s="66"/>
      <c r="DLM15" s="66"/>
      <c r="DLN15" s="66"/>
      <c r="DLO15" s="66"/>
      <c r="DLP15" s="66"/>
      <c r="DLQ15" s="66"/>
      <c r="DLR15" s="66"/>
      <c r="DLS15" s="66"/>
      <c r="DLT15" s="66"/>
      <c r="DLU15" s="66"/>
      <c r="DLV15" s="66"/>
      <c r="DLW15" s="66"/>
      <c r="DLX15" s="66"/>
      <c r="DLY15" s="66"/>
      <c r="DLZ15" s="66"/>
      <c r="DMA15" s="66"/>
      <c r="DMB15" s="66"/>
      <c r="DMC15" s="66"/>
      <c r="DMD15" s="66"/>
      <c r="DME15" s="66"/>
      <c r="DMF15" s="66"/>
      <c r="DMG15" s="66"/>
      <c r="DMH15" s="66"/>
      <c r="DMI15" s="66"/>
      <c r="DMJ15" s="66"/>
      <c r="DMK15" s="66"/>
      <c r="DML15" s="66"/>
      <c r="DMM15" s="66"/>
      <c r="DMN15" s="66"/>
      <c r="DMO15" s="66"/>
      <c r="DMP15" s="66"/>
      <c r="DMQ15" s="66"/>
      <c r="DMR15" s="66"/>
      <c r="DMS15" s="66"/>
      <c r="DMT15" s="66"/>
      <c r="DMU15" s="66"/>
      <c r="DMV15" s="66"/>
      <c r="DMW15" s="66"/>
      <c r="DMX15" s="66"/>
      <c r="DMY15" s="66"/>
      <c r="DMZ15" s="66"/>
      <c r="DNA15" s="66"/>
      <c r="DNB15" s="66"/>
      <c r="DNC15" s="66"/>
      <c r="DND15" s="66"/>
      <c r="DNE15" s="66"/>
      <c r="DNF15" s="66"/>
      <c r="DNG15" s="66"/>
      <c r="DNH15" s="66"/>
      <c r="DNI15" s="66"/>
      <c r="DNJ15" s="66"/>
      <c r="DNK15" s="66"/>
      <c r="DNL15" s="66"/>
      <c r="DNM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N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B15" s="66"/>
      <c r="DPC15" s="66"/>
      <c r="DPD15" s="66"/>
      <c r="DPE15" s="66"/>
      <c r="DPF15" s="66"/>
      <c r="DPG15" s="66"/>
      <c r="DPH15" s="66"/>
      <c r="DPI15" s="66"/>
      <c r="DPJ15" s="66"/>
      <c r="DPK15" s="66"/>
      <c r="DPL15" s="66"/>
      <c r="DPM15" s="66"/>
      <c r="DPN15" s="66"/>
      <c r="DPO15" s="66"/>
      <c r="DPP15" s="66"/>
      <c r="DPQ15" s="66"/>
      <c r="DPR15" s="66"/>
      <c r="DPS15" s="66"/>
      <c r="DPT15" s="66"/>
      <c r="DPU15" s="66"/>
      <c r="DPV15" s="66"/>
      <c r="DPW15" s="66"/>
      <c r="DPX15" s="66"/>
      <c r="DPY15" s="66"/>
      <c r="DPZ15" s="66"/>
      <c r="DQA15" s="66"/>
      <c r="DQB15" s="66"/>
      <c r="DQC15" s="66"/>
      <c r="DQD15" s="66"/>
      <c r="DQE15" s="66"/>
      <c r="DQF15" s="66"/>
      <c r="DQG15" s="66"/>
      <c r="DQH15" s="66"/>
      <c r="DQI15" s="66"/>
      <c r="DQJ15" s="66"/>
      <c r="DQK15" s="66"/>
      <c r="DQL15" s="66"/>
      <c r="DQM15" s="66"/>
      <c r="DQN15" s="66"/>
      <c r="DQO15" s="66"/>
      <c r="DQP15" s="66"/>
      <c r="DQQ15" s="66"/>
      <c r="DQR15" s="66"/>
      <c r="DQS15" s="66"/>
      <c r="DQT15" s="66"/>
      <c r="DQU15" s="66"/>
      <c r="DQV15" s="66"/>
      <c r="DQW15" s="66"/>
      <c r="DQX15" s="66"/>
      <c r="DQY15" s="66"/>
      <c r="DQZ15" s="66"/>
      <c r="DRA15" s="66"/>
      <c r="DRB15" s="66"/>
      <c r="DRC15" s="66"/>
      <c r="DRD15" s="66"/>
      <c r="DRE15" s="66"/>
      <c r="DRF15" s="66"/>
      <c r="DRG15" s="66"/>
      <c r="DRH15" s="66"/>
      <c r="DRI15" s="66"/>
      <c r="DRJ15" s="66"/>
      <c r="DRK15" s="66"/>
      <c r="DRL15" s="66"/>
      <c r="DRM15" s="66"/>
      <c r="DRN15" s="66"/>
      <c r="DRO15" s="66"/>
      <c r="DRP15" s="66"/>
      <c r="DRQ15" s="66"/>
      <c r="DRR15" s="66"/>
      <c r="DRS15" s="66"/>
      <c r="DRT15" s="66"/>
      <c r="DRU15" s="66"/>
      <c r="DRV15" s="66"/>
      <c r="DRW15" s="66"/>
      <c r="DRX15" s="66"/>
      <c r="DRY15" s="66"/>
      <c r="DRZ15" s="66"/>
      <c r="DSA15" s="66"/>
      <c r="DSB15" s="66"/>
      <c r="DSC15" s="66"/>
      <c r="DSD15" s="66"/>
      <c r="DSE15" s="66"/>
      <c r="DSF15" s="66"/>
      <c r="DSG15" s="66"/>
      <c r="DSH15" s="66"/>
      <c r="DSI15" s="66"/>
      <c r="DSJ15" s="66"/>
      <c r="DSK15" s="66"/>
      <c r="DSL15" s="66"/>
      <c r="DSM15" s="66"/>
      <c r="DSN15" s="66"/>
      <c r="DSO15" s="66"/>
      <c r="DSP15" s="66"/>
      <c r="DSQ15" s="66"/>
      <c r="DSR15" s="66"/>
      <c r="DSS15" s="66"/>
      <c r="DST15" s="66"/>
      <c r="DSU15" s="66"/>
      <c r="DSV15" s="66"/>
      <c r="DSW15" s="66"/>
      <c r="DSX15" s="66"/>
      <c r="DSY15" s="66"/>
      <c r="DSZ15" s="66"/>
      <c r="DTA15" s="66"/>
      <c r="DTB15" s="66"/>
      <c r="DTC15" s="66"/>
      <c r="DTD15" s="66"/>
      <c r="DTE15" s="66"/>
      <c r="DTF15" s="66"/>
      <c r="DTG15" s="66"/>
      <c r="DTH15" s="66"/>
      <c r="DTI15" s="66"/>
      <c r="DTJ15" s="66"/>
      <c r="DTK15" s="66"/>
      <c r="DTL15" s="66"/>
      <c r="DTM15" s="66"/>
      <c r="DTN15" s="66"/>
      <c r="DTO15" s="66"/>
      <c r="DTP15" s="66"/>
      <c r="DTQ15" s="66"/>
      <c r="DTR15" s="66"/>
      <c r="DTS15" s="66"/>
      <c r="DTT15" s="66"/>
      <c r="DTU15" s="66"/>
      <c r="DTV15" s="66"/>
      <c r="DTW15" s="66"/>
      <c r="DTX15" s="66"/>
      <c r="DTY15" s="66"/>
      <c r="DTZ15" s="66"/>
      <c r="DUA15" s="66"/>
      <c r="DUB15" s="66"/>
      <c r="DUC15" s="66"/>
      <c r="DUD15" s="66"/>
      <c r="DUE15" s="66"/>
      <c r="DUF15" s="66"/>
      <c r="DUG15" s="66"/>
      <c r="DUH15" s="66"/>
      <c r="DUI15" s="66"/>
      <c r="DUJ15" s="66"/>
      <c r="DUK15" s="66"/>
      <c r="DUL15" s="66"/>
      <c r="DUM15" s="66"/>
      <c r="DUN15" s="66"/>
      <c r="DUO15" s="66"/>
      <c r="DUP15" s="66"/>
      <c r="DUQ15" s="66"/>
      <c r="DUR15" s="66"/>
      <c r="DUS15" s="66"/>
      <c r="DUT15" s="66"/>
      <c r="DUU15" s="66"/>
      <c r="DUV15" s="66"/>
      <c r="DUW15" s="66"/>
      <c r="DUX15" s="66"/>
      <c r="DUY15" s="66"/>
      <c r="DUZ15" s="66"/>
      <c r="DVA15" s="66"/>
      <c r="DVB15" s="66"/>
      <c r="DVC15" s="66"/>
      <c r="DVD15" s="66"/>
      <c r="DVE15" s="66"/>
      <c r="DVF15" s="66"/>
      <c r="DVG15" s="66"/>
      <c r="DVH15" s="66"/>
      <c r="DVI15" s="66"/>
      <c r="DVJ15" s="66"/>
      <c r="DVK15" s="66"/>
      <c r="DVL15" s="66"/>
      <c r="DVM15" s="66"/>
      <c r="DVN15" s="66"/>
      <c r="DVO15" s="66"/>
      <c r="DVP15" s="66"/>
      <c r="DVQ15" s="66"/>
      <c r="DVR15" s="66"/>
      <c r="DVS15" s="66"/>
      <c r="DVT15" s="66"/>
      <c r="DVU15" s="66"/>
      <c r="DVV15" s="66"/>
      <c r="DVW15" s="66"/>
      <c r="DVX15" s="66"/>
      <c r="DVY15" s="66"/>
      <c r="DVZ15" s="66"/>
      <c r="DWA15" s="66"/>
      <c r="DWB15" s="66"/>
      <c r="DWC15" s="66"/>
      <c r="DWD15" s="66"/>
      <c r="DWE15" s="66"/>
      <c r="DWF15" s="66"/>
      <c r="DWG15" s="66"/>
      <c r="DWH15" s="66"/>
      <c r="DWI15" s="66"/>
      <c r="DWJ15" s="66"/>
      <c r="DWK15" s="66"/>
      <c r="DWL15" s="66"/>
      <c r="DWM15" s="66"/>
      <c r="DWN15" s="66"/>
      <c r="DWO15" s="66"/>
      <c r="DWP15" s="66"/>
      <c r="DWQ15" s="66"/>
      <c r="DWR15" s="66"/>
      <c r="DWS15" s="66"/>
      <c r="DWT15" s="66"/>
      <c r="DWU15" s="66"/>
      <c r="DWV15" s="66"/>
      <c r="DWW15" s="66"/>
      <c r="DWX15" s="66"/>
      <c r="DWY15" s="66"/>
      <c r="DWZ15" s="66"/>
      <c r="DXA15" s="66"/>
      <c r="DXB15" s="66"/>
      <c r="DXC15" s="66"/>
      <c r="DXD15" s="66"/>
      <c r="DXE15" s="66"/>
      <c r="DXF15" s="66"/>
      <c r="DXG15" s="66"/>
      <c r="DXH15" s="66"/>
      <c r="DXI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J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X15" s="66"/>
      <c r="DYY15" s="66"/>
      <c r="DYZ15" s="66"/>
      <c r="DZA15" s="66"/>
      <c r="DZB15" s="66"/>
      <c r="DZC15" s="66"/>
      <c r="DZD15" s="66"/>
      <c r="DZE15" s="66"/>
      <c r="DZF15" s="66"/>
      <c r="DZG15" s="66"/>
      <c r="DZH15" s="66"/>
      <c r="DZI15" s="66"/>
      <c r="DZJ15" s="66"/>
      <c r="DZK15" s="66"/>
      <c r="DZL15" s="66"/>
      <c r="DZM15" s="66"/>
      <c r="DZN15" s="66"/>
      <c r="DZO15" s="66"/>
      <c r="DZP15" s="66"/>
      <c r="DZQ15" s="66"/>
      <c r="DZR15" s="66"/>
      <c r="DZS15" s="66"/>
      <c r="DZT15" s="66"/>
      <c r="DZU15" s="66"/>
      <c r="DZV15" s="66"/>
      <c r="DZW15" s="66"/>
      <c r="DZX15" s="66"/>
      <c r="DZY15" s="66"/>
      <c r="DZZ15" s="66"/>
      <c r="EAA15" s="66"/>
      <c r="EAB15" s="66"/>
      <c r="EAC15" s="66"/>
      <c r="EAD15" s="66"/>
      <c r="EAE15" s="66"/>
      <c r="EAF15" s="66"/>
      <c r="EAG15" s="66"/>
      <c r="EAH15" s="66"/>
      <c r="EAI15" s="66"/>
      <c r="EAJ15" s="66"/>
      <c r="EAK15" s="66"/>
      <c r="EAL15" s="66"/>
      <c r="EAM15" s="66"/>
      <c r="EAN15" s="66"/>
      <c r="EAO15" s="66"/>
      <c r="EAP15" s="66"/>
      <c r="EAQ15" s="66"/>
      <c r="EAR15" s="66"/>
      <c r="EAS15" s="66"/>
      <c r="EAT15" s="66"/>
      <c r="EAU15" s="66"/>
      <c r="EAV15" s="66"/>
      <c r="EAW15" s="66"/>
      <c r="EAX15" s="66"/>
      <c r="EAY15" s="66"/>
      <c r="EAZ15" s="66"/>
      <c r="EBA15" s="66"/>
      <c r="EBB15" s="66"/>
      <c r="EBC15" s="66"/>
      <c r="EBD15" s="66"/>
      <c r="EBE15" s="66"/>
      <c r="EBF15" s="66"/>
      <c r="EBG15" s="66"/>
      <c r="EBH15" s="66"/>
      <c r="EBI15" s="66"/>
      <c r="EBJ15" s="66"/>
      <c r="EBK15" s="66"/>
      <c r="EBL15" s="66"/>
      <c r="EBM15" s="66"/>
      <c r="EBN15" s="66"/>
      <c r="EBO15" s="66"/>
      <c r="EBP15" s="66"/>
      <c r="EBQ15" s="66"/>
      <c r="EBR15" s="66"/>
      <c r="EBS15" s="66"/>
      <c r="EBT15" s="66"/>
      <c r="EBU15" s="66"/>
      <c r="EBV15" s="66"/>
      <c r="EBW15" s="66"/>
      <c r="EBX15" s="66"/>
      <c r="EBY15" s="66"/>
      <c r="EBZ15" s="66"/>
      <c r="ECA15" s="66"/>
      <c r="ECB15" s="66"/>
      <c r="ECC15" s="66"/>
      <c r="ECD15" s="66"/>
      <c r="ECE15" s="66"/>
      <c r="ECF15" s="66"/>
      <c r="ECG15" s="66"/>
      <c r="ECH15" s="66"/>
      <c r="ECI15" s="66"/>
      <c r="ECJ15" s="66"/>
      <c r="ECK15" s="66"/>
      <c r="ECL15" s="66"/>
      <c r="ECM15" s="66"/>
      <c r="ECN15" s="66"/>
      <c r="ECO15" s="66"/>
      <c r="ECP15" s="66"/>
      <c r="ECQ15" s="66"/>
      <c r="ECR15" s="66"/>
      <c r="ECS15" s="66"/>
      <c r="ECT15" s="66"/>
      <c r="ECU15" s="66"/>
      <c r="ECV15" s="66"/>
      <c r="ECW15" s="66"/>
      <c r="ECX15" s="66"/>
      <c r="ECY15" s="66"/>
      <c r="ECZ15" s="66"/>
      <c r="EDA15" s="66"/>
      <c r="EDB15" s="66"/>
      <c r="EDC15" s="66"/>
      <c r="EDD15" s="66"/>
      <c r="EDE15" s="66"/>
      <c r="EDF15" s="66"/>
      <c r="EDG15" s="66"/>
      <c r="EDH15" s="66"/>
      <c r="EDI15" s="66"/>
      <c r="EDJ15" s="66"/>
      <c r="EDK15" s="66"/>
      <c r="EDL15" s="66"/>
      <c r="EDM15" s="66"/>
      <c r="EDN15" s="66"/>
      <c r="EDO15" s="66"/>
      <c r="EDP15" s="66"/>
      <c r="EDQ15" s="66"/>
      <c r="EDR15" s="66"/>
      <c r="EDS15" s="66"/>
      <c r="EDT15" s="66"/>
      <c r="EDU15" s="66"/>
      <c r="EDV15" s="66"/>
      <c r="EDW15" s="66"/>
      <c r="EDX15" s="66"/>
      <c r="EDY15" s="66"/>
      <c r="EDZ15" s="66"/>
      <c r="EEA15" s="66"/>
      <c r="EEB15" s="66"/>
      <c r="EEC15" s="66"/>
      <c r="EED15" s="66"/>
      <c r="EEE15" s="66"/>
      <c r="EEF15" s="66"/>
      <c r="EEG15" s="66"/>
      <c r="EEH15" s="66"/>
      <c r="EEI15" s="66"/>
      <c r="EEJ15" s="66"/>
      <c r="EEK15" s="66"/>
      <c r="EEL15" s="66"/>
      <c r="EEM15" s="66"/>
      <c r="EEN15" s="66"/>
      <c r="EEO15" s="66"/>
      <c r="EEP15" s="66"/>
      <c r="EEQ15" s="66"/>
      <c r="EER15" s="66"/>
      <c r="EES15" s="66"/>
      <c r="EET15" s="66"/>
      <c r="EEU15" s="66"/>
      <c r="EEV15" s="66"/>
      <c r="EEW15" s="66"/>
      <c r="EEX15" s="66"/>
      <c r="EEY15" s="66"/>
      <c r="EEZ15" s="66"/>
      <c r="EFA15" s="66"/>
      <c r="EFB15" s="66"/>
      <c r="EFC15" s="66"/>
      <c r="EFD15" s="66"/>
      <c r="EFE15" s="66"/>
      <c r="EFF15" s="66"/>
      <c r="EFG15" s="66"/>
      <c r="EFH15" s="66"/>
      <c r="EFI15" s="66"/>
      <c r="EFJ15" s="66"/>
      <c r="EFK15" s="66"/>
      <c r="EFL15" s="66"/>
      <c r="EFM15" s="66"/>
      <c r="EFN15" s="66"/>
      <c r="EFO15" s="66"/>
      <c r="EFP15" s="66"/>
      <c r="EFQ15" s="66"/>
      <c r="EFR15" s="66"/>
      <c r="EFS15" s="66"/>
      <c r="EFT15" s="66"/>
      <c r="EFU15" s="66"/>
      <c r="EFV15" s="66"/>
      <c r="EFW15" s="66"/>
      <c r="EFX15" s="66"/>
      <c r="EFY15" s="66"/>
      <c r="EFZ15" s="66"/>
      <c r="EGA15" s="66"/>
      <c r="EGB15" s="66"/>
      <c r="EGC15" s="66"/>
      <c r="EGD15" s="66"/>
      <c r="EGE15" s="66"/>
      <c r="EGF15" s="66"/>
      <c r="EGG15" s="66"/>
      <c r="EGH15" s="66"/>
      <c r="EGI15" s="66"/>
      <c r="EGJ15" s="66"/>
      <c r="EGK15" s="66"/>
      <c r="EGL15" s="66"/>
      <c r="EGM15" s="66"/>
      <c r="EGN15" s="66"/>
      <c r="EGO15" s="66"/>
      <c r="EGP15" s="66"/>
      <c r="EGQ15" s="66"/>
      <c r="EGR15" s="66"/>
      <c r="EGS15" s="66"/>
      <c r="EGT15" s="66"/>
      <c r="EGU15" s="66"/>
      <c r="EGV15" s="66"/>
      <c r="EGW15" s="66"/>
      <c r="EGX15" s="66"/>
      <c r="EGY15" s="66"/>
      <c r="EGZ15" s="66"/>
      <c r="EHA15" s="66"/>
      <c r="EHB15" s="66"/>
      <c r="EHC15" s="66"/>
      <c r="EHD15" s="66"/>
      <c r="EHE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F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T15" s="66"/>
      <c r="EIU15" s="66"/>
      <c r="EIV15" s="66"/>
      <c r="EIW15" s="66"/>
      <c r="EIX15" s="66"/>
      <c r="EIY15" s="66"/>
      <c r="EIZ15" s="66"/>
      <c r="EJA15" s="66"/>
      <c r="EJB15" s="66"/>
      <c r="EJC15" s="66"/>
      <c r="EJD15" s="66"/>
      <c r="EJE15" s="66"/>
      <c r="EJF15" s="66"/>
      <c r="EJG15" s="66"/>
      <c r="EJH15" s="66"/>
      <c r="EJI15" s="66"/>
      <c r="EJJ15" s="66"/>
      <c r="EJK15" s="66"/>
      <c r="EJL15" s="66"/>
      <c r="EJM15" s="66"/>
      <c r="EJN15" s="66"/>
      <c r="EJO15" s="66"/>
      <c r="EJP15" s="66"/>
      <c r="EJQ15" s="66"/>
      <c r="EJR15" s="66"/>
      <c r="EJS15" s="66"/>
      <c r="EJT15" s="66"/>
      <c r="EJU15" s="66"/>
      <c r="EJV15" s="66"/>
      <c r="EJW15" s="66"/>
      <c r="EJX15" s="66"/>
      <c r="EJY15" s="66"/>
      <c r="EJZ15" s="66"/>
      <c r="EKA15" s="66"/>
      <c r="EKB15" s="66"/>
      <c r="EKC15" s="66"/>
      <c r="EKD15" s="66"/>
      <c r="EKE15" s="66"/>
      <c r="EKF15" s="66"/>
      <c r="EKG15" s="66"/>
      <c r="EKH15" s="66"/>
      <c r="EKI15" s="66"/>
      <c r="EKJ15" s="66"/>
      <c r="EKK15" s="66"/>
      <c r="EKL15" s="66"/>
      <c r="EKM15" s="66"/>
      <c r="EKN15" s="66"/>
      <c r="EKO15" s="66"/>
      <c r="EKP15" s="66"/>
      <c r="EKQ15" s="66"/>
      <c r="EKR15" s="66"/>
      <c r="EKS15" s="66"/>
      <c r="EKT15" s="66"/>
      <c r="EKU15" s="66"/>
      <c r="EKV15" s="66"/>
      <c r="EKW15" s="66"/>
      <c r="EKX15" s="66"/>
      <c r="EKY15" s="66"/>
      <c r="EKZ15" s="66"/>
      <c r="ELA15" s="66"/>
      <c r="ELB15" s="66"/>
      <c r="ELC15" s="66"/>
      <c r="ELD15" s="66"/>
      <c r="ELE15" s="66"/>
      <c r="ELF15" s="66"/>
      <c r="ELG15" s="66"/>
      <c r="ELH15" s="66"/>
      <c r="ELI15" s="66"/>
      <c r="ELJ15" s="66"/>
      <c r="ELK15" s="66"/>
      <c r="ELL15" s="66"/>
      <c r="ELM15" s="66"/>
      <c r="ELN15" s="66"/>
      <c r="ELO15" s="66"/>
      <c r="ELP15" s="66"/>
      <c r="ELQ15" s="66"/>
      <c r="ELR15" s="66"/>
      <c r="ELS15" s="66"/>
      <c r="ELT15" s="66"/>
      <c r="ELU15" s="66"/>
      <c r="ELV15" s="66"/>
      <c r="ELW15" s="66"/>
      <c r="ELX15" s="66"/>
      <c r="ELY15" s="66"/>
      <c r="ELZ15" s="66"/>
      <c r="EMA15" s="66"/>
      <c r="EMB15" s="66"/>
      <c r="EMC15" s="66"/>
      <c r="EMD15" s="66"/>
      <c r="EME15" s="66"/>
      <c r="EMF15" s="66"/>
      <c r="EMG15" s="66"/>
      <c r="EMH15" s="66"/>
      <c r="EMI15" s="66"/>
      <c r="EMJ15" s="66"/>
      <c r="EMK15" s="66"/>
      <c r="EML15" s="66"/>
      <c r="EMM15" s="66"/>
      <c r="EMN15" s="66"/>
      <c r="EMO15" s="66"/>
      <c r="EMP15" s="66"/>
      <c r="EMQ15" s="66"/>
      <c r="EMR15" s="66"/>
      <c r="EMS15" s="66"/>
      <c r="EMT15" s="66"/>
      <c r="EMU15" s="66"/>
      <c r="EMV15" s="66"/>
      <c r="EMW15" s="66"/>
      <c r="EMX15" s="66"/>
      <c r="EMY15" s="66"/>
      <c r="EMZ15" s="66"/>
      <c r="ENA15" s="66"/>
      <c r="ENB15" s="66"/>
      <c r="ENC15" s="66"/>
      <c r="END15" s="66"/>
      <c r="ENE15" s="66"/>
      <c r="ENF15" s="66"/>
      <c r="ENG15" s="66"/>
      <c r="ENH15" s="66"/>
      <c r="ENI15" s="66"/>
      <c r="ENJ15" s="66"/>
      <c r="ENK15" s="66"/>
      <c r="ENL15" s="66"/>
      <c r="ENM15" s="66"/>
      <c r="ENN15" s="66"/>
      <c r="ENO15" s="66"/>
      <c r="ENP15" s="66"/>
      <c r="ENQ15" s="66"/>
      <c r="ENR15" s="66"/>
      <c r="ENS15" s="66"/>
      <c r="ENT15" s="66"/>
      <c r="ENU15" s="66"/>
      <c r="ENV15" s="66"/>
      <c r="ENW15" s="66"/>
      <c r="ENX15" s="66"/>
      <c r="ENY15" s="66"/>
      <c r="ENZ15" s="66"/>
      <c r="EOA15" s="66"/>
      <c r="EOB15" s="66"/>
      <c r="EOC15" s="66"/>
      <c r="EOD15" s="66"/>
      <c r="EOE15" s="66"/>
      <c r="EOF15" s="66"/>
      <c r="EOG15" s="66"/>
      <c r="EOH15" s="66"/>
      <c r="EOI15" s="66"/>
      <c r="EOJ15" s="66"/>
      <c r="EOK15" s="66"/>
      <c r="EOL15" s="66"/>
      <c r="EOM15" s="66"/>
      <c r="EON15" s="66"/>
      <c r="EOO15" s="66"/>
      <c r="EOP15" s="66"/>
      <c r="EOQ15" s="66"/>
      <c r="EOR15" s="66"/>
      <c r="EOS15" s="66"/>
      <c r="EOT15" s="66"/>
      <c r="EOU15" s="66"/>
      <c r="EOV15" s="66"/>
      <c r="EOW15" s="66"/>
      <c r="EOX15" s="66"/>
      <c r="EOY15" s="66"/>
      <c r="EOZ15" s="66"/>
      <c r="EPA15" s="66"/>
      <c r="EPB15" s="66"/>
      <c r="EPC15" s="66"/>
      <c r="EPD15" s="66"/>
      <c r="EPE15" s="66"/>
      <c r="EPF15" s="66"/>
      <c r="EPG15" s="66"/>
      <c r="EPH15" s="66"/>
      <c r="EPI15" s="66"/>
      <c r="EPJ15" s="66"/>
      <c r="EPK15" s="66"/>
      <c r="EPL15" s="66"/>
      <c r="EPM15" s="66"/>
      <c r="EPN15" s="66"/>
      <c r="EPO15" s="66"/>
      <c r="EPP15" s="66"/>
      <c r="EPQ15" s="66"/>
      <c r="EPR15" s="66"/>
      <c r="EPS15" s="66"/>
      <c r="EPT15" s="66"/>
      <c r="EPU15" s="66"/>
      <c r="EPV15" s="66"/>
      <c r="EPW15" s="66"/>
      <c r="EPX15" s="66"/>
      <c r="EPY15" s="66"/>
      <c r="EPZ15" s="66"/>
      <c r="EQA15" s="66"/>
      <c r="EQB15" s="66"/>
      <c r="EQC15" s="66"/>
      <c r="EQD15" s="66"/>
      <c r="EQE15" s="66"/>
      <c r="EQF15" s="66"/>
      <c r="EQG15" s="66"/>
      <c r="EQH15" s="66"/>
      <c r="EQI15" s="66"/>
      <c r="EQJ15" s="66"/>
      <c r="EQK15" s="66"/>
      <c r="EQL15" s="66"/>
      <c r="EQM15" s="66"/>
      <c r="EQN15" s="66"/>
      <c r="EQO15" s="66"/>
      <c r="EQP15" s="66"/>
      <c r="EQQ15" s="66"/>
      <c r="EQR15" s="66"/>
      <c r="EQS15" s="66"/>
      <c r="EQT15" s="66"/>
      <c r="EQU15" s="66"/>
      <c r="EQV15" s="66"/>
      <c r="EQW15" s="66"/>
      <c r="EQX15" s="66"/>
      <c r="EQY15" s="66"/>
      <c r="EQZ15" s="66"/>
      <c r="ERA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B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P15" s="66"/>
      <c r="ESQ15" s="66"/>
      <c r="ESR15" s="66"/>
      <c r="ESS15" s="66"/>
      <c r="EST15" s="66"/>
      <c r="ESU15" s="66"/>
      <c r="ESV15" s="66"/>
      <c r="ESW15" s="66"/>
      <c r="ESX15" s="66"/>
      <c r="ESY15" s="66"/>
      <c r="ESZ15" s="66"/>
      <c r="ETA15" s="66"/>
      <c r="ETB15" s="66"/>
      <c r="ETC15" s="66"/>
      <c r="ETD15" s="66"/>
      <c r="ETE15" s="66"/>
      <c r="ETF15" s="66"/>
      <c r="ETG15" s="66"/>
      <c r="ETH15" s="66"/>
      <c r="ETI15" s="66"/>
      <c r="ETJ15" s="66"/>
      <c r="ETK15" s="66"/>
      <c r="ETL15" s="66"/>
      <c r="ETM15" s="66"/>
      <c r="ETN15" s="66"/>
      <c r="ETO15" s="66"/>
      <c r="ETP15" s="66"/>
      <c r="ETQ15" s="66"/>
      <c r="ETR15" s="66"/>
      <c r="ETS15" s="66"/>
      <c r="ETT15" s="66"/>
      <c r="ETU15" s="66"/>
      <c r="ETV15" s="66"/>
      <c r="ETW15" s="66"/>
      <c r="ETX15" s="66"/>
      <c r="ETY15" s="66"/>
      <c r="ETZ15" s="66"/>
      <c r="EUA15" s="66"/>
      <c r="EUB15" s="66"/>
      <c r="EUC15" s="66"/>
      <c r="EUD15" s="66"/>
      <c r="EUE15" s="66"/>
      <c r="EUF15" s="66"/>
      <c r="EUG15" s="66"/>
      <c r="EUH15" s="66"/>
      <c r="EUI15" s="66"/>
      <c r="EUJ15" s="66"/>
      <c r="EUK15" s="66"/>
      <c r="EUL15" s="66"/>
      <c r="EUM15" s="66"/>
      <c r="EUN15" s="66"/>
      <c r="EUO15" s="66"/>
      <c r="EUP15" s="66"/>
      <c r="EUQ15" s="66"/>
      <c r="EUR15" s="66"/>
      <c r="EUS15" s="66"/>
      <c r="EUT15" s="66"/>
      <c r="EUU15" s="66"/>
      <c r="EUV15" s="66"/>
      <c r="EUW15" s="66"/>
      <c r="EUX15" s="66"/>
      <c r="EUY15" s="66"/>
      <c r="EUZ15" s="66"/>
      <c r="EVA15" s="66"/>
      <c r="EVB15" s="66"/>
      <c r="EVC15" s="66"/>
      <c r="EVD15" s="66"/>
      <c r="EVE15" s="66"/>
      <c r="EVF15" s="66"/>
      <c r="EVG15" s="66"/>
      <c r="EVH15" s="66"/>
      <c r="EVI15" s="66"/>
      <c r="EVJ15" s="66"/>
      <c r="EVK15" s="66"/>
      <c r="EVL15" s="66"/>
      <c r="EVM15" s="66"/>
      <c r="EVN15" s="66"/>
      <c r="EVO15" s="66"/>
      <c r="EVP15" s="66"/>
      <c r="EVQ15" s="66"/>
      <c r="EVR15" s="66"/>
      <c r="EVS15" s="66"/>
      <c r="EVT15" s="66"/>
      <c r="EVU15" s="66"/>
      <c r="EVV15" s="66"/>
      <c r="EVW15" s="66"/>
      <c r="EVX15" s="66"/>
      <c r="EVY15" s="66"/>
      <c r="EVZ15" s="66"/>
      <c r="EWA15" s="66"/>
      <c r="EWB15" s="66"/>
      <c r="EWC15" s="66"/>
      <c r="EWD15" s="66"/>
      <c r="EWE15" s="66"/>
      <c r="EWF15" s="66"/>
      <c r="EWG15" s="66"/>
      <c r="EWH15" s="66"/>
      <c r="EWI15" s="66"/>
      <c r="EWJ15" s="66"/>
      <c r="EWK15" s="66"/>
      <c r="EWL15" s="66"/>
      <c r="EWM15" s="66"/>
      <c r="EWN15" s="66"/>
      <c r="EWO15" s="66"/>
      <c r="EWP15" s="66"/>
      <c r="EWQ15" s="66"/>
      <c r="EWR15" s="66"/>
      <c r="EWS15" s="66"/>
      <c r="EWT15" s="66"/>
      <c r="EWU15" s="66"/>
      <c r="EWV15" s="66"/>
      <c r="EWW15" s="66"/>
      <c r="EWX15" s="66"/>
      <c r="EWY15" s="66"/>
      <c r="EWZ15" s="66"/>
      <c r="EXA15" s="66"/>
      <c r="EXB15" s="66"/>
      <c r="EXC15" s="66"/>
      <c r="EXD15" s="66"/>
      <c r="EXE15" s="66"/>
      <c r="EXF15" s="66"/>
      <c r="EXG15" s="66"/>
      <c r="EXH15" s="66"/>
      <c r="EXI15" s="66"/>
      <c r="EXJ15" s="66"/>
      <c r="EXK15" s="66"/>
      <c r="EXL15" s="66"/>
      <c r="EXM15" s="66"/>
      <c r="EXN15" s="66"/>
      <c r="EXO15" s="66"/>
      <c r="EXP15" s="66"/>
      <c r="EXQ15" s="66"/>
      <c r="EXR15" s="66"/>
      <c r="EXS15" s="66"/>
      <c r="EXT15" s="66"/>
      <c r="EXU15" s="66"/>
      <c r="EXV15" s="66"/>
      <c r="EXW15" s="66"/>
      <c r="EXX15" s="66"/>
      <c r="EXY15" s="66"/>
      <c r="EXZ15" s="66"/>
      <c r="EYA15" s="66"/>
      <c r="EYB15" s="66"/>
      <c r="EYC15" s="66"/>
      <c r="EYD15" s="66"/>
      <c r="EYE15" s="66"/>
      <c r="EYF15" s="66"/>
      <c r="EYG15" s="66"/>
      <c r="EYH15" s="66"/>
      <c r="EYI15" s="66"/>
      <c r="EYJ15" s="66"/>
      <c r="EYK15" s="66"/>
      <c r="EYL15" s="66"/>
      <c r="EYM15" s="66"/>
      <c r="EYN15" s="66"/>
      <c r="EYO15" s="66"/>
      <c r="EYP15" s="66"/>
      <c r="EYQ15" s="66"/>
      <c r="EYR15" s="66"/>
      <c r="EYS15" s="66"/>
      <c r="EYT15" s="66"/>
      <c r="EYU15" s="66"/>
      <c r="EYV15" s="66"/>
      <c r="EYW15" s="66"/>
      <c r="EYX15" s="66"/>
      <c r="EYY15" s="66"/>
      <c r="EYZ15" s="66"/>
      <c r="EZA15" s="66"/>
      <c r="EZB15" s="66"/>
      <c r="EZC15" s="66"/>
      <c r="EZD15" s="66"/>
      <c r="EZE15" s="66"/>
      <c r="EZF15" s="66"/>
      <c r="EZG15" s="66"/>
      <c r="EZH15" s="66"/>
      <c r="EZI15" s="66"/>
      <c r="EZJ15" s="66"/>
      <c r="EZK15" s="66"/>
      <c r="EZL15" s="66"/>
      <c r="EZM15" s="66"/>
      <c r="EZN15" s="66"/>
      <c r="EZO15" s="66"/>
      <c r="EZP15" s="66"/>
      <c r="EZQ15" s="66"/>
      <c r="EZR15" s="66"/>
      <c r="EZS15" s="66"/>
      <c r="EZT15" s="66"/>
      <c r="EZU15" s="66"/>
      <c r="EZV15" s="66"/>
      <c r="EZW15" s="66"/>
      <c r="EZX15" s="66"/>
      <c r="EZY15" s="66"/>
      <c r="EZZ15" s="66"/>
      <c r="FAA15" s="66"/>
      <c r="FAB15" s="66"/>
      <c r="FAC15" s="66"/>
      <c r="FAD15" s="66"/>
      <c r="FAE15" s="66"/>
      <c r="FAF15" s="66"/>
      <c r="FAG15" s="66"/>
      <c r="FAH15" s="66"/>
      <c r="FAI15" s="66"/>
      <c r="FAJ15" s="66"/>
      <c r="FAK15" s="66"/>
      <c r="FAL15" s="66"/>
      <c r="FAM15" s="66"/>
      <c r="FAN15" s="66"/>
      <c r="FAO15" s="66"/>
      <c r="FAP15" s="66"/>
      <c r="FAQ15" s="66"/>
      <c r="FAR15" s="66"/>
      <c r="FAS15" s="66"/>
      <c r="FAT15" s="66"/>
      <c r="FAU15" s="66"/>
      <c r="FAV15" s="66"/>
      <c r="FAW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X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L15" s="66"/>
      <c r="FCM15" s="66"/>
      <c r="FCN15" s="66"/>
      <c r="FCO15" s="66"/>
      <c r="FCP15" s="66"/>
      <c r="FCQ15" s="66"/>
      <c r="FCR15" s="66"/>
      <c r="FCS15" s="66"/>
      <c r="FCT15" s="66"/>
      <c r="FCU15" s="66"/>
      <c r="FCV15" s="66"/>
      <c r="FCW15" s="66"/>
      <c r="FCX15" s="66"/>
      <c r="FCY15" s="66"/>
      <c r="FCZ15" s="66"/>
      <c r="FDA15" s="66"/>
      <c r="FDB15" s="66"/>
      <c r="FDC15" s="66"/>
      <c r="FDD15" s="66"/>
      <c r="FDE15" s="66"/>
      <c r="FDF15" s="66"/>
      <c r="FDG15" s="66"/>
      <c r="FDH15" s="66"/>
      <c r="FDI15" s="66"/>
      <c r="FDJ15" s="66"/>
      <c r="FDK15" s="66"/>
      <c r="FDL15" s="66"/>
      <c r="FDM15" s="66"/>
      <c r="FDN15" s="66"/>
      <c r="FDO15" s="66"/>
      <c r="FDP15" s="66"/>
      <c r="FDQ15" s="66"/>
      <c r="FDR15" s="66"/>
      <c r="FDS15" s="66"/>
      <c r="FDT15" s="66"/>
      <c r="FDU15" s="66"/>
      <c r="FDV15" s="66"/>
      <c r="FDW15" s="66"/>
      <c r="FDX15" s="66"/>
      <c r="FDY15" s="66"/>
      <c r="FDZ15" s="66"/>
      <c r="FEA15" s="66"/>
      <c r="FEB15" s="66"/>
      <c r="FEC15" s="66"/>
      <c r="FED15" s="66"/>
      <c r="FEE15" s="66"/>
      <c r="FEF15" s="66"/>
      <c r="FEG15" s="66"/>
      <c r="FEH15" s="66"/>
      <c r="FEI15" s="66"/>
      <c r="FEJ15" s="66"/>
      <c r="FEK15" s="66"/>
      <c r="FEL15" s="66"/>
      <c r="FEM15" s="66"/>
      <c r="FEN15" s="66"/>
      <c r="FEO15" s="66"/>
      <c r="FEP15" s="66"/>
      <c r="FEQ15" s="66"/>
      <c r="FER15" s="66"/>
      <c r="FES15" s="66"/>
      <c r="FET15" s="66"/>
      <c r="FEU15" s="66"/>
      <c r="FEV15" s="66"/>
      <c r="FEW15" s="66"/>
      <c r="FEX15" s="66"/>
      <c r="FEY15" s="66"/>
      <c r="FEZ15" s="66"/>
      <c r="FFA15" s="66"/>
      <c r="FFB15" s="66"/>
      <c r="FFC15" s="66"/>
      <c r="FFD15" s="66"/>
      <c r="FFE15" s="66"/>
      <c r="FFF15" s="66"/>
      <c r="FFG15" s="66"/>
      <c r="FFH15" s="66"/>
      <c r="FFI15" s="66"/>
      <c r="FFJ15" s="66"/>
      <c r="FFK15" s="66"/>
      <c r="FFL15" s="66"/>
      <c r="FFM15" s="66"/>
      <c r="FFN15" s="66"/>
      <c r="FFO15" s="66"/>
      <c r="FFP15" s="66"/>
      <c r="FFQ15" s="66"/>
      <c r="FFR15" s="66"/>
      <c r="FFS15" s="66"/>
      <c r="FFT15" s="66"/>
      <c r="FFU15" s="66"/>
      <c r="FFV15" s="66"/>
      <c r="FFW15" s="66"/>
      <c r="FFX15" s="66"/>
      <c r="FFY15" s="66"/>
      <c r="FFZ15" s="66"/>
      <c r="FGA15" s="66"/>
      <c r="FGB15" s="66"/>
      <c r="FGC15" s="66"/>
      <c r="FGD15" s="66"/>
      <c r="FGE15" s="66"/>
      <c r="FGF15" s="66"/>
      <c r="FGG15" s="66"/>
      <c r="FGH15" s="66"/>
      <c r="FGI15" s="66"/>
      <c r="FGJ15" s="66"/>
      <c r="FGK15" s="66"/>
      <c r="FGL15" s="66"/>
      <c r="FGM15" s="66"/>
      <c r="FGN15" s="66"/>
      <c r="FGO15" s="66"/>
      <c r="FGP15" s="66"/>
      <c r="FGQ15" s="66"/>
      <c r="FGR15" s="66"/>
      <c r="FGS15" s="66"/>
      <c r="FGT15" s="66"/>
      <c r="FGU15" s="66"/>
      <c r="FGV15" s="66"/>
      <c r="FGW15" s="66"/>
      <c r="FGX15" s="66"/>
      <c r="FGY15" s="66"/>
      <c r="FGZ15" s="66"/>
      <c r="FHA15" s="66"/>
      <c r="FHB15" s="66"/>
      <c r="FHC15" s="66"/>
      <c r="FHD15" s="66"/>
      <c r="FHE15" s="66"/>
      <c r="FHF15" s="66"/>
      <c r="FHG15" s="66"/>
      <c r="FHH15" s="66"/>
      <c r="FHI15" s="66"/>
      <c r="FHJ15" s="66"/>
      <c r="FHK15" s="66"/>
      <c r="FHL15" s="66"/>
      <c r="FHM15" s="66"/>
      <c r="FHN15" s="66"/>
      <c r="FHO15" s="66"/>
      <c r="FHP15" s="66"/>
      <c r="FHQ15" s="66"/>
      <c r="FHR15" s="66"/>
      <c r="FHS15" s="66"/>
      <c r="FHT15" s="66"/>
      <c r="FHU15" s="66"/>
      <c r="FHV15" s="66"/>
      <c r="FHW15" s="66"/>
      <c r="FHX15" s="66"/>
      <c r="FHY15" s="66"/>
      <c r="FHZ15" s="66"/>
      <c r="FIA15" s="66"/>
      <c r="FIB15" s="66"/>
      <c r="FIC15" s="66"/>
      <c r="FID15" s="66"/>
      <c r="FIE15" s="66"/>
      <c r="FIF15" s="66"/>
      <c r="FIG15" s="66"/>
      <c r="FIH15" s="66"/>
      <c r="FII15" s="66"/>
      <c r="FIJ15" s="66"/>
      <c r="FIK15" s="66"/>
      <c r="FIL15" s="66"/>
      <c r="FIM15" s="66"/>
      <c r="FIN15" s="66"/>
      <c r="FIO15" s="66"/>
      <c r="FIP15" s="66"/>
      <c r="FIQ15" s="66"/>
      <c r="FIR15" s="66"/>
      <c r="FIS15" s="66"/>
      <c r="FIT15" s="66"/>
      <c r="FIU15" s="66"/>
      <c r="FIV15" s="66"/>
      <c r="FIW15" s="66"/>
      <c r="FIX15" s="66"/>
      <c r="FIY15" s="66"/>
      <c r="FIZ15" s="66"/>
      <c r="FJA15" s="66"/>
      <c r="FJB15" s="66"/>
      <c r="FJC15" s="66"/>
      <c r="FJD15" s="66"/>
      <c r="FJE15" s="66"/>
      <c r="FJF15" s="66"/>
      <c r="FJG15" s="66"/>
      <c r="FJH15" s="66"/>
      <c r="FJI15" s="66"/>
      <c r="FJJ15" s="66"/>
      <c r="FJK15" s="66"/>
      <c r="FJL15" s="66"/>
      <c r="FJM15" s="66"/>
      <c r="FJN15" s="66"/>
      <c r="FJO15" s="66"/>
      <c r="FJP15" s="66"/>
      <c r="FJQ15" s="66"/>
      <c r="FJR15" s="66"/>
      <c r="FJS15" s="66"/>
      <c r="FJT15" s="66"/>
      <c r="FJU15" s="66"/>
      <c r="FJV15" s="66"/>
      <c r="FJW15" s="66"/>
      <c r="FJX15" s="66"/>
      <c r="FJY15" s="66"/>
      <c r="FJZ15" s="66"/>
      <c r="FKA15" s="66"/>
      <c r="FKB15" s="66"/>
      <c r="FKC15" s="66"/>
      <c r="FKD15" s="66"/>
      <c r="FKE15" s="66"/>
      <c r="FKF15" s="66"/>
      <c r="FKG15" s="66"/>
      <c r="FKH15" s="66"/>
      <c r="FKI15" s="66"/>
      <c r="FKJ15" s="66"/>
      <c r="FKK15" s="66"/>
      <c r="FKL15" s="66"/>
      <c r="FKM15" s="66"/>
      <c r="FKN15" s="66"/>
      <c r="FKO15" s="66"/>
      <c r="FKP15" s="66"/>
      <c r="FKQ15" s="66"/>
      <c r="FKR15" s="66"/>
      <c r="FKS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T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H15" s="66"/>
      <c r="FMI15" s="66"/>
      <c r="FMJ15" s="66"/>
      <c r="FMK15" s="66"/>
      <c r="FML15" s="66"/>
      <c r="FMM15" s="66"/>
      <c r="FMN15" s="66"/>
      <c r="FMO15" s="66"/>
      <c r="FMP15" s="66"/>
      <c r="FMQ15" s="66"/>
      <c r="FMR15" s="66"/>
      <c r="FMS15" s="66"/>
      <c r="FMT15" s="66"/>
      <c r="FMU15" s="66"/>
      <c r="FMV15" s="66"/>
      <c r="FMW15" s="66"/>
      <c r="FMX15" s="66"/>
      <c r="FMY15" s="66"/>
      <c r="FMZ15" s="66"/>
      <c r="FNA15" s="66"/>
      <c r="FNB15" s="66"/>
      <c r="FNC15" s="66"/>
      <c r="FND15" s="66"/>
      <c r="FNE15" s="66"/>
      <c r="FNF15" s="66"/>
      <c r="FNG15" s="66"/>
      <c r="FNH15" s="66"/>
      <c r="FNI15" s="66"/>
      <c r="FNJ15" s="66"/>
      <c r="FNK15" s="66"/>
      <c r="FNL15" s="66"/>
      <c r="FNM15" s="66"/>
      <c r="FNN15" s="66"/>
      <c r="FNO15" s="66"/>
      <c r="FNP15" s="66"/>
      <c r="FNQ15" s="66"/>
      <c r="FNR15" s="66"/>
      <c r="FNS15" s="66"/>
      <c r="FNT15" s="66"/>
      <c r="FNU15" s="66"/>
      <c r="FNV15" s="66"/>
      <c r="FNW15" s="66"/>
      <c r="FNX15" s="66"/>
      <c r="FNY15" s="66"/>
      <c r="FNZ15" s="66"/>
      <c r="FOA15" s="66"/>
      <c r="FOB15" s="66"/>
      <c r="FOC15" s="66"/>
      <c r="FOD15" s="66"/>
      <c r="FOE15" s="66"/>
      <c r="FOF15" s="66"/>
      <c r="FOG15" s="66"/>
      <c r="FOH15" s="66"/>
      <c r="FOI15" s="66"/>
      <c r="FOJ15" s="66"/>
      <c r="FOK15" s="66"/>
      <c r="FOL15" s="66"/>
      <c r="FOM15" s="66"/>
      <c r="FON15" s="66"/>
      <c r="FOO15" s="66"/>
      <c r="FOP15" s="66"/>
      <c r="FOQ15" s="66"/>
      <c r="FOR15" s="66"/>
      <c r="FOS15" s="66"/>
      <c r="FOT15" s="66"/>
      <c r="FOU15" s="66"/>
      <c r="FOV15" s="66"/>
      <c r="FOW15" s="66"/>
      <c r="FOX15" s="66"/>
      <c r="FOY15" s="66"/>
      <c r="FOZ15" s="66"/>
      <c r="FPA15" s="66"/>
      <c r="FPB15" s="66"/>
      <c r="FPC15" s="66"/>
      <c r="FPD15" s="66"/>
      <c r="FPE15" s="66"/>
      <c r="FPF15" s="66"/>
      <c r="FPG15" s="66"/>
      <c r="FPH15" s="66"/>
      <c r="FPI15" s="66"/>
      <c r="FPJ15" s="66"/>
      <c r="FPK15" s="66"/>
      <c r="FPL15" s="66"/>
      <c r="FPM15" s="66"/>
      <c r="FPN15" s="66"/>
      <c r="FPO15" s="66"/>
      <c r="FPP15" s="66"/>
      <c r="FPQ15" s="66"/>
      <c r="FPR15" s="66"/>
      <c r="FPS15" s="66"/>
      <c r="FPT15" s="66"/>
      <c r="FPU15" s="66"/>
      <c r="FPV15" s="66"/>
      <c r="FPW15" s="66"/>
      <c r="FPX15" s="66"/>
      <c r="FPY15" s="66"/>
      <c r="FPZ15" s="66"/>
      <c r="FQA15" s="66"/>
      <c r="FQB15" s="66"/>
      <c r="FQC15" s="66"/>
      <c r="FQD15" s="66"/>
      <c r="FQE15" s="66"/>
      <c r="FQF15" s="66"/>
      <c r="FQG15" s="66"/>
      <c r="FQH15" s="66"/>
      <c r="FQI15" s="66"/>
      <c r="FQJ15" s="66"/>
      <c r="FQK15" s="66"/>
      <c r="FQL15" s="66"/>
      <c r="FQM15" s="66"/>
      <c r="FQN15" s="66"/>
      <c r="FQO15" s="66"/>
      <c r="FQP15" s="66"/>
      <c r="FQQ15" s="66"/>
      <c r="FQR15" s="66"/>
      <c r="FQS15" s="66"/>
      <c r="FQT15" s="66"/>
      <c r="FQU15" s="66"/>
      <c r="FQV15" s="66"/>
      <c r="FQW15" s="66"/>
      <c r="FQX15" s="66"/>
      <c r="FQY15" s="66"/>
      <c r="FQZ15" s="66"/>
      <c r="FRA15" s="66"/>
      <c r="FRB15" s="66"/>
      <c r="FRC15" s="66"/>
      <c r="FRD15" s="66"/>
      <c r="FRE15" s="66"/>
      <c r="FRF15" s="66"/>
      <c r="FRG15" s="66"/>
      <c r="FRH15" s="66"/>
      <c r="FRI15" s="66"/>
      <c r="FRJ15" s="66"/>
      <c r="FRK15" s="66"/>
      <c r="FRL15" s="66"/>
      <c r="FRM15" s="66"/>
      <c r="FRN15" s="66"/>
      <c r="FRO15" s="66"/>
      <c r="FRP15" s="66"/>
      <c r="FRQ15" s="66"/>
      <c r="FRR15" s="66"/>
      <c r="FRS15" s="66"/>
      <c r="FRT15" s="66"/>
      <c r="FRU15" s="66"/>
      <c r="FRV15" s="66"/>
      <c r="FRW15" s="66"/>
      <c r="FRX15" s="66"/>
      <c r="FRY15" s="66"/>
      <c r="FRZ15" s="66"/>
      <c r="FSA15" s="66"/>
      <c r="FSB15" s="66"/>
      <c r="FSC15" s="66"/>
      <c r="FSD15" s="66"/>
      <c r="FSE15" s="66"/>
      <c r="FSF15" s="66"/>
      <c r="FSG15" s="66"/>
      <c r="FSH15" s="66"/>
      <c r="FSI15" s="66"/>
      <c r="FSJ15" s="66"/>
      <c r="FSK15" s="66"/>
      <c r="FSL15" s="66"/>
      <c r="FSM15" s="66"/>
      <c r="FSN15" s="66"/>
      <c r="FSO15" s="66"/>
      <c r="FSP15" s="66"/>
      <c r="FSQ15" s="66"/>
      <c r="FSR15" s="66"/>
      <c r="FSS15" s="66"/>
      <c r="FST15" s="66"/>
      <c r="FSU15" s="66"/>
      <c r="FSV15" s="66"/>
      <c r="FSW15" s="66"/>
      <c r="FSX15" s="66"/>
      <c r="FSY15" s="66"/>
      <c r="FSZ15" s="66"/>
      <c r="FTA15" s="66"/>
      <c r="FTB15" s="66"/>
      <c r="FTC15" s="66"/>
      <c r="FTD15" s="66"/>
      <c r="FTE15" s="66"/>
      <c r="FTF15" s="66"/>
      <c r="FTG15" s="66"/>
      <c r="FTH15" s="66"/>
      <c r="FTI15" s="66"/>
      <c r="FTJ15" s="66"/>
      <c r="FTK15" s="66"/>
      <c r="FTL15" s="66"/>
      <c r="FTM15" s="66"/>
      <c r="FTN15" s="66"/>
      <c r="FTO15" s="66"/>
      <c r="FTP15" s="66"/>
      <c r="FTQ15" s="66"/>
      <c r="FTR15" s="66"/>
      <c r="FTS15" s="66"/>
      <c r="FTT15" s="66"/>
      <c r="FTU15" s="66"/>
      <c r="FTV15" s="66"/>
      <c r="FTW15" s="66"/>
      <c r="FTX15" s="66"/>
      <c r="FTY15" s="66"/>
      <c r="FTZ15" s="66"/>
      <c r="FUA15" s="66"/>
      <c r="FUB15" s="66"/>
      <c r="FUC15" s="66"/>
      <c r="FUD15" s="66"/>
      <c r="FUE15" s="66"/>
      <c r="FUF15" s="66"/>
      <c r="FUG15" s="66"/>
      <c r="FUH15" s="66"/>
      <c r="FUI15" s="66"/>
      <c r="FUJ15" s="66"/>
      <c r="FUK15" s="66"/>
      <c r="FUL15" s="66"/>
      <c r="FUM15" s="66"/>
      <c r="FUN15" s="66"/>
      <c r="FUO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P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D15" s="66"/>
      <c r="FWE15" s="66"/>
      <c r="FWF15" s="66"/>
      <c r="FWG15" s="66"/>
      <c r="FWH15" s="66"/>
      <c r="FWI15" s="66"/>
      <c r="FWJ15" s="66"/>
      <c r="FWK15" s="66"/>
      <c r="FWL15" s="66"/>
      <c r="FWM15" s="66"/>
      <c r="FWN15" s="66"/>
      <c r="FWO15" s="66"/>
      <c r="FWP15" s="66"/>
      <c r="FWQ15" s="66"/>
      <c r="FWR15" s="66"/>
      <c r="FWS15" s="66"/>
      <c r="FWT15" s="66"/>
      <c r="FWU15" s="66"/>
      <c r="FWV15" s="66"/>
      <c r="FWW15" s="66"/>
      <c r="FWX15" s="66"/>
      <c r="FWY15" s="66"/>
      <c r="FWZ15" s="66"/>
      <c r="FXA15" s="66"/>
      <c r="FXB15" s="66"/>
      <c r="FXC15" s="66"/>
      <c r="FXD15" s="66"/>
      <c r="FXE15" s="66"/>
      <c r="FXF15" s="66"/>
      <c r="FXG15" s="66"/>
      <c r="FXH15" s="66"/>
      <c r="FXI15" s="66"/>
      <c r="FXJ15" s="66"/>
      <c r="FXK15" s="66"/>
      <c r="FXL15" s="66"/>
      <c r="FXM15" s="66"/>
      <c r="FXN15" s="66"/>
      <c r="FXO15" s="66"/>
      <c r="FXP15" s="66"/>
      <c r="FXQ15" s="66"/>
      <c r="FXR15" s="66"/>
      <c r="FXS15" s="66"/>
      <c r="FXT15" s="66"/>
      <c r="FXU15" s="66"/>
      <c r="FXV15" s="66"/>
      <c r="FXW15" s="66"/>
      <c r="FXX15" s="66"/>
      <c r="FXY15" s="66"/>
      <c r="FXZ15" s="66"/>
      <c r="FYA15" s="66"/>
      <c r="FYB15" s="66"/>
      <c r="FYC15" s="66"/>
      <c r="FYD15" s="66"/>
      <c r="FYE15" s="66"/>
      <c r="FYF15" s="66"/>
      <c r="FYG15" s="66"/>
      <c r="FYH15" s="66"/>
      <c r="FYI15" s="66"/>
      <c r="FYJ15" s="66"/>
      <c r="FYK15" s="66"/>
      <c r="FYL15" s="66"/>
      <c r="FYM15" s="66"/>
      <c r="FYN15" s="66"/>
      <c r="FYO15" s="66"/>
      <c r="FYP15" s="66"/>
      <c r="FYQ15" s="66"/>
      <c r="FYR15" s="66"/>
      <c r="FYS15" s="66"/>
      <c r="FYT15" s="66"/>
      <c r="FYU15" s="66"/>
      <c r="FYV15" s="66"/>
      <c r="FYW15" s="66"/>
      <c r="FYX15" s="66"/>
      <c r="FYY15" s="66"/>
      <c r="FYZ15" s="66"/>
      <c r="FZA15" s="66"/>
      <c r="FZB15" s="66"/>
      <c r="FZC15" s="66"/>
      <c r="FZD15" s="66"/>
      <c r="FZE15" s="66"/>
      <c r="FZF15" s="66"/>
      <c r="FZG15" s="66"/>
      <c r="FZH15" s="66"/>
      <c r="FZI15" s="66"/>
      <c r="FZJ15" s="66"/>
      <c r="FZK15" s="66"/>
      <c r="FZL15" s="66"/>
      <c r="FZM15" s="66"/>
      <c r="FZN15" s="66"/>
      <c r="FZO15" s="66"/>
      <c r="FZP15" s="66"/>
      <c r="FZQ15" s="66"/>
      <c r="FZR15" s="66"/>
      <c r="FZS15" s="66"/>
      <c r="FZT15" s="66"/>
      <c r="FZU15" s="66"/>
      <c r="FZV15" s="66"/>
      <c r="FZW15" s="66"/>
      <c r="FZX15" s="66"/>
      <c r="FZY15" s="66"/>
      <c r="FZZ15" s="66"/>
      <c r="GAA15" s="66"/>
      <c r="GAB15" s="66"/>
      <c r="GAC15" s="66"/>
      <c r="GAD15" s="66"/>
      <c r="GAE15" s="66"/>
      <c r="GAF15" s="66"/>
      <c r="GAG15" s="66"/>
      <c r="GAH15" s="66"/>
      <c r="GAI15" s="66"/>
      <c r="GAJ15" s="66"/>
      <c r="GAK15" s="66"/>
      <c r="GAL15" s="66"/>
      <c r="GAM15" s="66"/>
      <c r="GAN15" s="66"/>
      <c r="GAO15" s="66"/>
      <c r="GAP15" s="66"/>
      <c r="GAQ15" s="66"/>
      <c r="GAR15" s="66"/>
      <c r="GAS15" s="66"/>
      <c r="GAT15" s="66"/>
      <c r="GAU15" s="66"/>
      <c r="GAV15" s="66"/>
      <c r="GAW15" s="66"/>
      <c r="GAX15" s="66"/>
      <c r="GAY15" s="66"/>
      <c r="GAZ15" s="66"/>
      <c r="GBA15" s="66"/>
      <c r="GBB15" s="66"/>
      <c r="GBC15" s="66"/>
      <c r="GBD15" s="66"/>
      <c r="GBE15" s="66"/>
      <c r="GBF15" s="66"/>
      <c r="GBG15" s="66"/>
      <c r="GBH15" s="66"/>
      <c r="GBI15" s="66"/>
      <c r="GBJ15" s="66"/>
      <c r="GBK15" s="66"/>
      <c r="GBL15" s="66"/>
      <c r="GBM15" s="66"/>
      <c r="GBN15" s="66"/>
      <c r="GBO15" s="66"/>
      <c r="GBP15" s="66"/>
      <c r="GBQ15" s="66"/>
      <c r="GBR15" s="66"/>
      <c r="GBS15" s="66"/>
      <c r="GBT15" s="66"/>
      <c r="GBU15" s="66"/>
      <c r="GBV15" s="66"/>
      <c r="GBW15" s="66"/>
      <c r="GBX15" s="66"/>
      <c r="GBY15" s="66"/>
      <c r="GBZ15" s="66"/>
      <c r="GCA15" s="66"/>
      <c r="GCB15" s="66"/>
      <c r="GCC15" s="66"/>
      <c r="GCD15" s="66"/>
      <c r="GCE15" s="66"/>
      <c r="GCF15" s="66"/>
      <c r="GCG15" s="66"/>
      <c r="GCH15" s="66"/>
      <c r="GCI15" s="66"/>
      <c r="GCJ15" s="66"/>
      <c r="GCK15" s="66"/>
      <c r="GCL15" s="66"/>
      <c r="GCM15" s="66"/>
      <c r="GCN15" s="66"/>
      <c r="GCO15" s="66"/>
      <c r="GCP15" s="66"/>
      <c r="GCQ15" s="66"/>
      <c r="GCR15" s="66"/>
      <c r="GCS15" s="66"/>
      <c r="GCT15" s="66"/>
      <c r="GCU15" s="66"/>
      <c r="GCV15" s="66"/>
      <c r="GCW15" s="66"/>
      <c r="GCX15" s="66"/>
      <c r="GCY15" s="66"/>
      <c r="GCZ15" s="66"/>
      <c r="GDA15" s="66"/>
      <c r="GDB15" s="66"/>
      <c r="GDC15" s="66"/>
      <c r="GDD15" s="66"/>
      <c r="GDE15" s="66"/>
      <c r="GDF15" s="66"/>
      <c r="GDG15" s="66"/>
      <c r="GDH15" s="66"/>
      <c r="GDI15" s="66"/>
      <c r="GDJ15" s="66"/>
      <c r="GDK15" s="66"/>
      <c r="GDL15" s="66"/>
      <c r="GDM15" s="66"/>
      <c r="GDN15" s="66"/>
      <c r="GDO15" s="66"/>
      <c r="GDP15" s="66"/>
      <c r="GDQ15" s="66"/>
      <c r="GDR15" s="66"/>
      <c r="GDS15" s="66"/>
      <c r="GDT15" s="66"/>
      <c r="GDU15" s="66"/>
      <c r="GDV15" s="66"/>
      <c r="GDW15" s="66"/>
      <c r="GDX15" s="66"/>
      <c r="GDY15" s="66"/>
      <c r="GDZ15" s="66"/>
      <c r="GEA15" s="66"/>
      <c r="GEB15" s="66"/>
      <c r="GEC15" s="66"/>
      <c r="GED15" s="66"/>
      <c r="GEE15" s="66"/>
      <c r="GEF15" s="66"/>
      <c r="GEG15" s="66"/>
      <c r="GEH15" s="66"/>
      <c r="GEI15" s="66"/>
      <c r="GEJ15" s="66"/>
      <c r="GEK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L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FZ15" s="66"/>
      <c r="GGA15" s="66"/>
      <c r="GGB15" s="66"/>
      <c r="GGC15" s="66"/>
      <c r="GGD15" s="66"/>
      <c r="GGE15" s="66"/>
      <c r="GGF15" s="66"/>
      <c r="GGG15" s="66"/>
      <c r="GGH15" s="66"/>
      <c r="GGI15" s="66"/>
      <c r="GGJ15" s="66"/>
      <c r="GGK15" s="66"/>
      <c r="GGL15" s="66"/>
      <c r="GGM15" s="66"/>
      <c r="GGN15" s="66"/>
      <c r="GGO15" s="66"/>
      <c r="GGP15" s="66"/>
      <c r="GGQ15" s="66"/>
      <c r="GGR15" s="66"/>
      <c r="GGS15" s="66"/>
      <c r="GGT15" s="66"/>
      <c r="GGU15" s="66"/>
      <c r="GGV15" s="66"/>
      <c r="GGW15" s="66"/>
      <c r="GGX15" s="66"/>
      <c r="GGY15" s="66"/>
      <c r="GGZ15" s="66"/>
      <c r="GHA15" s="66"/>
      <c r="GHB15" s="66"/>
      <c r="GHC15" s="66"/>
      <c r="GHD15" s="66"/>
      <c r="GHE15" s="66"/>
      <c r="GHF15" s="66"/>
      <c r="GHG15" s="66"/>
      <c r="GHH15" s="66"/>
      <c r="GHI15" s="66"/>
      <c r="GHJ15" s="66"/>
      <c r="GHK15" s="66"/>
      <c r="GHL15" s="66"/>
      <c r="GHM15" s="66"/>
      <c r="GHN15" s="66"/>
      <c r="GHO15" s="66"/>
      <c r="GHP15" s="66"/>
      <c r="GHQ15" s="66"/>
      <c r="GHR15" s="66"/>
      <c r="GHS15" s="66"/>
      <c r="GHT15" s="66"/>
      <c r="GHU15" s="66"/>
      <c r="GHV15" s="66"/>
      <c r="GHW15" s="66"/>
      <c r="GHX15" s="66"/>
      <c r="GHY15" s="66"/>
      <c r="GHZ15" s="66"/>
      <c r="GIA15" s="66"/>
      <c r="GIB15" s="66"/>
      <c r="GIC15" s="66"/>
      <c r="GID15" s="66"/>
      <c r="GIE15" s="66"/>
      <c r="GIF15" s="66"/>
      <c r="GIG15" s="66"/>
      <c r="GIH15" s="66"/>
      <c r="GII15" s="66"/>
      <c r="GIJ15" s="66"/>
      <c r="GIK15" s="66"/>
      <c r="GIL15" s="66"/>
      <c r="GIM15" s="66"/>
      <c r="GIN15" s="66"/>
      <c r="GIO15" s="66"/>
      <c r="GIP15" s="66"/>
      <c r="GIQ15" s="66"/>
      <c r="GIR15" s="66"/>
      <c r="GIS15" s="66"/>
      <c r="GIT15" s="66"/>
      <c r="GIU15" s="66"/>
      <c r="GIV15" s="66"/>
      <c r="GIW15" s="66"/>
      <c r="GIX15" s="66"/>
      <c r="GIY15" s="66"/>
      <c r="GIZ15" s="66"/>
      <c r="GJA15" s="66"/>
      <c r="GJB15" s="66"/>
      <c r="GJC15" s="66"/>
      <c r="GJD15" s="66"/>
      <c r="GJE15" s="66"/>
      <c r="GJF15" s="66"/>
      <c r="GJG15" s="66"/>
      <c r="GJH15" s="66"/>
      <c r="GJI15" s="66"/>
      <c r="GJJ15" s="66"/>
      <c r="GJK15" s="66"/>
      <c r="GJL15" s="66"/>
      <c r="GJM15" s="66"/>
      <c r="GJN15" s="66"/>
      <c r="GJO15" s="66"/>
      <c r="GJP15" s="66"/>
      <c r="GJQ15" s="66"/>
      <c r="GJR15" s="66"/>
      <c r="GJS15" s="66"/>
      <c r="GJT15" s="66"/>
      <c r="GJU15" s="66"/>
      <c r="GJV15" s="66"/>
      <c r="GJW15" s="66"/>
      <c r="GJX15" s="66"/>
      <c r="GJY15" s="66"/>
      <c r="GJZ15" s="66"/>
      <c r="GKA15" s="66"/>
      <c r="GKB15" s="66"/>
      <c r="GKC15" s="66"/>
      <c r="GKD15" s="66"/>
      <c r="GKE15" s="66"/>
      <c r="GKF15" s="66"/>
      <c r="GKG15" s="66"/>
      <c r="GKH15" s="66"/>
      <c r="GKI15" s="66"/>
      <c r="GKJ15" s="66"/>
      <c r="GKK15" s="66"/>
      <c r="GKL15" s="66"/>
      <c r="GKM15" s="66"/>
      <c r="GKN15" s="66"/>
      <c r="GKO15" s="66"/>
      <c r="GKP15" s="66"/>
      <c r="GKQ15" s="66"/>
      <c r="GKR15" s="66"/>
      <c r="GKS15" s="66"/>
      <c r="GKT15" s="66"/>
      <c r="GKU15" s="66"/>
      <c r="GKV15" s="66"/>
      <c r="GKW15" s="66"/>
      <c r="GKX15" s="66"/>
      <c r="GKY15" s="66"/>
      <c r="GKZ15" s="66"/>
      <c r="GLA15" s="66"/>
      <c r="GLB15" s="66"/>
      <c r="GLC15" s="66"/>
      <c r="GLD15" s="66"/>
      <c r="GLE15" s="66"/>
      <c r="GLF15" s="66"/>
      <c r="GLG15" s="66"/>
      <c r="GLH15" s="66"/>
      <c r="GLI15" s="66"/>
      <c r="GLJ15" s="66"/>
      <c r="GLK15" s="66"/>
      <c r="GLL15" s="66"/>
      <c r="GLM15" s="66"/>
      <c r="GLN15" s="66"/>
      <c r="GLO15" s="66"/>
      <c r="GLP15" s="66"/>
      <c r="GLQ15" s="66"/>
      <c r="GLR15" s="66"/>
      <c r="GLS15" s="66"/>
      <c r="GLT15" s="66"/>
      <c r="GLU15" s="66"/>
      <c r="GLV15" s="66"/>
      <c r="GLW15" s="66"/>
      <c r="GLX15" s="66"/>
      <c r="GLY15" s="66"/>
      <c r="GLZ15" s="66"/>
      <c r="GMA15" s="66"/>
      <c r="GMB15" s="66"/>
      <c r="GMC15" s="66"/>
      <c r="GMD15" s="66"/>
      <c r="GME15" s="66"/>
      <c r="GMF15" s="66"/>
      <c r="GMG15" s="66"/>
      <c r="GMH15" s="66"/>
      <c r="GMI15" s="66"/>
      <c r="GMJ15" s="66"/>
      <c r="GMK15" s="66"/>
      <c r="GML15" s="66"/>
      <c r="GMM15" s="66"/>
      <c r="GMN15" s="66"/>
      <c r="GMO15" s="66"/>
      <c r="GMP15" s="66"/>
      <c r="GMQ15" s="66"/>
      <c r="GMR15" s="66"/>
      <c r="GMS15" s="66"/>
      <c r="GMT15" s="66"/>
      <c r="GMU15" s="66"/>
      <c r="GMV15" s="66"/>
      <c r="GMW15" s="66"/>
      <c r="GMX15" s="66"/>
      <c r="GMY15" s="66"/>
      <c r="GMZ15" s="66"/>
      <c r="GNA15" s="66"/>
      <c r="GNB15" s="66"/>
      <c r="GNC15" s="66"/>
      <c r="GND15" s="66"/>
      <c r="GNE15" s="66"/>
      <c r="GNF15" s="66"/>
      <c r="GNG15" s="66"/>
      <c r="GNH15" s="66"/>
      <c r="GNI15" s="66"/>
      <c r="GNJ15" s="66"/>
      <c r="GNK15" s="66"/>
      <c r="GNL15" s="66"/>
      <c r="GNM15" s="66"/>
      <c r="GNN15" s="66"/>
      <c r="GNO15" s="66"/>
      <c r="GNP15" s="66"/>
      <c r="GNQ15" s="66"/>
      <c r="GNR15" s="66"/>
      <c r="GNS15" s="66"/>
      <c r="GNT15" s="66"/>
      <c r="GNU15" s="66"/>
      <c r="GNV15" s="66"/>
      <c r="GNW15" s="66"/>
      <c r="GNX15" s="66"/>
      <c r="GNY15" s="66"/>
      <c r="GNZ15" s="66"/>
      <c r="GOA15" s="66"/>
      <c r="GOB15" s="66"/>
      <c r="GOC15" s="66"/>
      <c r="GOD15" s="66"/>
      <c r="GOE15" s="66"/>
      <c r="GOF15" s="66"/>
      <c r="GOG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H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V15" s="66"/>
      <c r="GPW15" s="66"/>
      <c r="GPX15" s="66"/>
      <c r="GPY15" s="66"/>
      <c r="GPZ15" s="66"/>
      <c r="GQA15" s="66"/>
      <c r="GQB15" s="66"/>
      <c r="GQC15" s="66"/>
      <c r="GQD15" s="66"/>
      <c r="GQE15" s="66"/>
      <c r="GQF15" s="66"/>
      <c r="GQG15" s="66"/>
      <c r="GQH15" s="66"/>
      <c r="GQI15" s="66"/>
      <c r="GQJ15" s="66"/>
      <c r="GQK15" s="66"/>
      <c r="GQL15" s="66"/>
      <c r="GQM15" s="66"/>
      <c r="GQN15" s="66"/>
      <c r="GQO15" s="66"/>
      <c r="GQP15" s="66"/>
      <c r="GQQ15" s="66"/>
      <c r="GQR15" s="66"/>
      <c r="GQS15" s="66"/>
      <c r="GQT15" s="66"/>
      <c r="GQU15" s="66"/>
      <c r="GQV15" s="66"/>
      <c r="GQW15" s="66"/>
      <c r="GQX15" s="66"/>
      <c r="GQY15" s="66"/>
      <c r="GQZ15" s="66"/>
      <c r="GRA15" s="66"/>
      <c r="GRB15" s="66"/>
      <c r="GRC15" s="66"/>
      <c r="GRD15" s="66"/>
      <c r="GRE15" s="66"/>
      <c r="GRF15" s="66"/>
      <c r="GRG15" s="66"/>
      <c r="GRH15" s="66"/>
      <c r="GRI15" s="66"/>
      <c r="GRJ15" s="66"/>
      <c r="GRK15" s="66"/>
      <c r="GRL15" s="66"/>
      <c r="GRM15" s="66"/>
      <c r="GRN15" s="66"/>
      <c r="GRO15" s="66"/>
      <c r="GRP15" s="66"/>
      <c r="GRQ15" s="66"/>
      <c r="GRR15" s="66"/>
      <c r="GRS15" s="66"/>
      <c r="GRT15" s="66"/>
      <c r="GRU15" s="66"/>
      <c r="GRV15" s="66"/>
      <c r="GRW15" s="66"/>
      <c r="GRX15" s="66"/>
      <c r="GRY15" s="66"/>
      <c r="GRZ15" s="66"/>
      <c r="GSA15" s="66"/>
      <c r="GSB15" s="66"/>
      <c r="GSC15" s="66"/>
      <c r="GSD15" s="66"/>
      <c r="GSE15" s="66"/>
      <c r="GSF15" s="66"/>
      <c r="GSG15" s="66"/>
      <c r="GSH15" s="66"/>
      <c r="GSI15" s="66"/>
      <c r="GSJ15" s="66"/>
      <c r="GSK15" s="66"/>
      <c r="GSL15" s="66"/>
      <c r="GSM15" s="66"/>
      <c r="GSN15" s="66"/>
      <c r="GSO15" s="66"/>
      <c r="GSP15" s="66"/>
      <c r="GSQ15" s="66"/>
      <c r="GSR15" s="66"/>
      <c r="GSS15" s="66"/>
      <c r="GST15" s="66"/>
      <c r="GSU15" s="66"/>
      <c r="GSV15" s="66"/>
      <c r="GSW15" s="66"/>
      <c r="GSX15" s="66"/>
      <c r="GSY15" s="66"/>
      <c r="GSZ15" s="66"/>
      <c r="GTA15" s="66"/>
      <c r="GTB15" s="66"/>
      <c r="GTC15" s="66"/>
      <c r="GTD15" s="66"/>
      <c r="GTE15" s="66"/>
      <c r="GTF15" s="66"/>
      <c r="GTG15" s="66"/>
      <c r="GTH15" s="66"/>
      <c r="GTI15" s="66"/>
      <c r="GTJ15" s="66"/>
      <c r="GTK15" s="66"/>
      <c r="GTL15" s="66"/>
      <c r="GTM15" s="66"/>
      <c r="GTN15" s="66"/>
      <c r="GTO15" s="66"/>
      <c r="GTP15" s="66"/>
      <c r="GTQ15" s="66"/>
      <c r="GTR15" s="66"/>
      <c r="GTS15" s="66"/>
      <c r="GTT15" s="66"/>
      <c r="GTU15" s="66"/>
      <c r="GTV15" s="66"/>
      <c r="GTW15" s="66"/>
      <c r="GTX15" s="66"/>
      <c r="GTY15" s="66"/>
      <c r="GTZ15" s="66"/>
      <c r="GUA15" s="66"/>
      <c r="GUB15" s="66"/>
      <c r="GUC15" s="66"/>
      <c r="GUD15" s="66"/>
      <c r="GUE15" s="66"/>
      <c r="GUF15" s="66"/>
      <c r="GUG15" s="66"/>
      <c r="GUH15" s="66"/>
      <c r="GUI15" s="66"/>
      <c r="GUJ15" s="66"/>
      <c r="GUK15" s="66"/>
      <c r="GUL15" s="66"/>
      <c r="GUM15" s="66"/>
      <c r="GUN15" s="66"/>
      <c r="GUO15" s="66"/>
      <c r="GUP15" s="66"/>
      <c r="GUQ15" s="66"/>
      <c r="GUR15" s="66"/>
      <c r="GUS15" s="66"/>
      <c r="GUT15" s="66"/>
      <c r="GUU15" s="66"/>
      <c r="GUV15" s="66"/>
      <c r="GUW15" s="66"/>
      <c r="GUX15" s="66"/>
      <c r="GUY15" s="66"/>
      <c r="GUZ15" s="66"/>
      <c r="GVA15" s="66"/>
      <c r="GVB15" s="66"/>
      <c r="GVC15" s="66"/>
      <c r="GVD15" s="66"/>
      <c r="GVE15" s="66"/>
      <c r="GVF15" s="66"/>
      <c r="GVG15" s="66"/>
      <c r="GVH15" s="66"/>
      <c r="GVI15" s="66"/>
      <c r="GVJ15" s="66"/>
      <c r="GVK15" s="66"/>
      <c r="GVL15" s="66"/>
      <c r="GVM15" s="66"/>
      <c r="GVN15" s="66"/>
      <c r="GVO15" s="66"/>
      <c r="GVP15" s="66"/>
      <c r="GVQ15" s="66"/>
      <c r="GVR15" s="66"/>
      <c r="GVS15" s="66"/>
      <c r="GVT15" s="66"/>
      <c r="GVU15" s="66"/>
      <c r="GVV15" s="66"/>
      <c r="GVW15" s="66"/>
      <c r="GVX15" s="66"/>
      <c r="GVY15" s="66"/>
      <c r="GVZ15" s="66"/>
      <c r="GWA15" s="66"/>
      <c r="GWB15" s="66"/>
      <c r="GWC15" s="66"/>
      <c r="GWD15" s="66"/>
      <c r="GWE15" s="66"/>
      <c r="GWF15" s="66"/>
      <c r="GWG15" s="66"/>
      <c r="GWH15" s="66"/>
      <c r="GWI15" s="66"/>
      <c r="GWJ15" s="66"/>
      <c r="GWK15" s="66"/>
      <c r="GWL15" s="66"/>
      <c r="GWM15" s="66"/>
      <c r="GWN15" s="66"/>
      <c r="GWO15" s="66"/>
      <c r="GWP15" s="66"/>
      <c r="GWQ15" s="66"/>
      <c r="GWR15" s="66"/>
      <c r="GWS15" s="66"/>
      <c r="GWT15" s="66"/>
      <c r="GWU15" s="66"/>
      <c r="GWV15" s="66"/>
      <c r="GWW15" s="66"/>
      <c r="GWX15" s="66"/>
      <c r="GWY15" s="66"/>
      <c r="GWZ15" s="66"/>
      <c r="GXA15" s="66"/>
      <c r="GXB15" s="66"/>
      <c r="GXC15" s="66"/>
      <c r="GXD15" s="66"/>
      <c r="GXE15" s="66"/>
      <c r="GXF15" s="66"/>
      <c r="GXG15" s="66"/>
      <c r="GXH15" s="66"/>
      <c r="GXI15" s="66"/>
      <c r="GXJ15" s="66"/>
      <c r="GXK15" s="66"/>
      <c r="GXL15" s="66"/>
      <c r="GXM15" s="66"/>
      <c r="GXN15" s="66"/>
      <c r="GXO15" s="66"/>
      <c r="GXP15" s="66"/>
      <c r="GXQ15" s="66"/>
      <c r="GXR15" s="66"/>
      <c r="GXS15" s="66"/>
      <c r="GXT15" s="66"/>
      <c r="GXU15" s="66"/>
      <c r="GXV15" s="66"/>
      <c r="GXW15" s="66"/>
      <c r="GXX15" s="66"/>
      <c r="GXY15" s="66"/>
      <c r="GXZ15" s="66"/>
      <c r="GYA15" s="66"/>
      <c r="GYB15" s="66"/>
      <c r="GYC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D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R15" s="66"/>
      <c r="GZS15" s="66"/>
      <c r="GZT15" s="66"/>
      <c r="GZU15" s="66"/>
      <c r="GZV15" s="66"/>
      <c r="GZW15" s="66"/>
      <c r="GZX15" s="66"/>
      <c r="GZY15" s="66"/>
      <c r="GZZ15" s="66"/>
      <c r="HAA15" s="66"/>
      <c r="HAB15" s="66"/>
      <c r="HAC15" s="66"/>
      <c r="HAD15" s="66"/>
      <c r="HAE15" s="66"/>
      <c r="HAF15" s="66"/>
      <c r="HAG15" s="66"/>
      <c r="HAH15" s="66"/>
      <c r="HAI15" s="66"/>
      <c r="HAJ15" s="66"/>
      <c r="HAK15" s="66"/>
      <c r="HAL15" s="66"/>
      <c r="HAM15" s="66"/>
      <c r="HAN15" s="66"/>
      <c r="HAO15" s="66"/>
      <c r="HAP15" s="66"/>
      <c r="HAQ15" s="66"/>
      <c r="HAR15" s="66"/>
      <c r="HAS15" s="66"/>
      <c r="HAT15" s="66"/>
      <c r="HAU15" s="66"/>
      <c r="HAV15" s="66"/>
      <c r="HAW15" s="66"/>
      <c r="HAX15" s="66"/>
      <c r="HAY15" s="66"/>
      <c r="HAZ15" s="66"/>
      <c r="HBA15" s="66"/>
      <c r="HBB15" s="66"/>
      <c r="HBC15" s="66"/>
      <c r="HBD15" s="66"/>
      <c r="HBE15" s="66"/>
      <c r="HBF15" s="66"/>
      <c r="HBG15" s="66"/>
      <c r="HBH15" s="66"/>
      <c r="HBI15" s="66"/>
      <c r="HBJ15" s="66"/>
      <c r="HBK15" s="66"/>
      <c r="HBL15" s="66"/>
      <c r="HBM15" s="66"/>
      <c r="HBN15" s="66"/>
      <c r="HBO15" s="66"/>
      <c r="HBP15" s="66"/>
      <c r="HBQ15" s="66"/>
      <c r="HBR15" s="66"/>
      <c r="HBS15" s="66"/>
      <c r="HBT15" s="66"/>
      <c r="HBU15" s="66"/>
      <c r="HBV15" s="66"/>
      <c r="HBW15" s="66"/>
      <c r="HBX15" s="66"/>
      <c r="HBY15" s="66"/>
      <c r="HBZ15" s="66"/>
      <c r="HCA15" s="66"/>
      <c r="HCB15" s="66"/>
      <c r="HCC15" s="66"/>
      <c r="HCD15" s="66"/>
      <c r="HCE15" s="66"/>
      <c r="HCF15" s="66"/>
      <c r="HCG15" s="66"/>
      <c r="HCH15" s="66"/>
      <c r="HCI15" s="66"/>
      <c r="HCJ15" s="66"/>
      <c r="HCK15" s="66"/>
      <c r="HCL15" s="66"/>
      <c r="HCM15" s="66"/>
      <c r="HCN15" s="66"/>
      <c r="HCO15" s="66"/>
      <c r="HCP15" s="66"/>
      <c r="HCQ15" s="66"/>
      <c r="HCR15" s="66"/>
      <c r="HCS15" s="66"/>
      <c r="HCT15" s="66"/>
      <c r="HCU15" s="66"/>
      <c r="HCV15" s="66"/>
      <c r="HCW15" s="66"/>
      <c r="HCX15" s="66"/>
      <c r="HCY15" s="66"/>
      <c r="HCZ15" s="66"/>
      <c r="HDA15" s="66"/>
      <c r="HDB15" s="66"/>
      <c r="HDC15" s="66"/>
      <c r="HDD15" s="66"/>
      <c r="HDE15" s="66"/>
      <c r="HDF15" s="66"/>
      <c r="HDG15" s="66"/>
      <c r="HDH15" s="66"/>
      <c r="HDI15" s="66"/>
      <c r="HDJ15" s="66"/>
      <c r="HDK15" s="66"/>
      <c r="HDL15" s="66"/>
      <c r="HDM15" s="66"/>
      <c r="HDN15" s="66"/>
      <c r="HDO15" s="66"/>
      <c r="HDP15" s="66"/>
      <c r="HDQ15" s="66"/>
      <c r="HDR15" s="66"/>
      <c r="HDS15" s="66"/>
      <c r="HDT15" s="66"/>
      <c r="HDU15" s="66"/>
      <c r="HDV15" s="66"/>
      <c r="HDW15" s="66"/>
      <c r="HDX15" s="66"/>
      <c r="HDY15" s="66"/>
      <c r="HDZ15" s="66"/>
      <c r="HEA15" s="66"/>
      <c r="HEB15" s="66"/>
      <c r="HEC15" s="66"/>
      <c r="HED15" s="66"/>
      <c r="HEE15" s="66"/>
      <c r="HEF15" s="66"/>
      <c r="HEG15" s="66"/>
      <c r="HEH15" s="66"/>
      <c r="HEI15" s="66"/>
      <c r="HEJ15" s="66"/>
      <c r="HEK15" s="66"/>
      <c r="HEL15" s="66"/>
      <c r="HEM15" s="66"/>
      <c r="HEN15" s="66"/>
      <c r="HEO15" s="66"/>
      <c r="HEP15" s="66"/>
      <c r="HEQ15" s="66"/>
      <c r="HER15" s="66"/>
      <c r="HES15" s="66"/>
      <c r="HET15" s="66"/>
      <c r="HEU15" s="66"/>
      <c r="HEV15" s="66"/>
      <c r="HEW15" s="66"/>
      <c r="HEX15" s="66"/>
      <c r="HEY15" s="66"/>
      <c r="HEZ15" s="66"/>
      <c r="HFA15" s="66"/>
      <c r="HFB15" s="66"/>
      <c r="HFC15" s="66"/>
      <c r="HFD15" s="66"/>
      <c r="HFE15" s="66"/>
      <c r="HFF15" s="66"/>
      <c r="HFG15" s="66"/>
      <c r="HFH15" s="66"/>
      <c r="HFI15" s="66"/>
      <c r="HFJ15" s="66"/>
      <c r="HFK15" s="66"/>
      <c r="HFL15" s="66"/>
      <c r="HFM15" s="66"/>
      <c r="HFN15" s="66"/>
      <c r="HFO15" s="66"/>
      <c r="HFP15" s="66"/>
      <c r="HFQ15" s="66"/>
      <c r="HFR15" s="66"/>
      <c r="HFS15" s="66"/>
      <c r="HFT15" s="66"/>
      <c r="HFU15" s="66"/>
      <c r="HFV15" s="66"/>
      <c r="HFW15" s="66"/>
      <c r="HFX15" s="66"/>
      <c r="HFY15" s="66"/>
      <c r="HFZ15" s="66"/>
      <c r="HGA15" s="66"/>
      <c r="HGB15" s="66"/>
      <c r="HGC15" s="66"/>
      <c r="HGD15" s="66"/>
      <c r="HGE15" s="66"/>
      <c r="HGF15" s="66"/>
      <c r="HGG15" s="66"/>
      <c r="HGH15" s="66"/>
      <c r="HGI15" s="66"/>
      <c r="HGJ15" s="66"/>
      <c r="HGK15" s="66"/>
      <c r="HGL15" s="66"/>
      <c r="HGM15" s="66"/>
      <c r="HGN15" s="66"/>
      <c r="HGO15" s="66"/>
      <c r="HGP15" s="66"/>
      <c r="HGQ15" s="66"/>
      <c r="HGR15" s="66"/>
      <c r="HGS15" s="66"/>
      <c r="HGT15" s="66"/>
      <c r="HGU15" s="66"/>
      <c r="HGV15" s="66"/>
      <c r="HGW15" s="66"/>
      <c r="HGX15" s="66"/>
      <c r="HGY15" s="66"/>
      <c r="HGZ15" s="66"/>
      <c r="HHA15" s="66"/>
      <c r="HHB15" s="66"/>
      <c r="HHC15" s="66"/>
      <c r="HHD15" s="66"/>
      <c r="HHE15" s="66"/>
      <c r="HHF15" s="66"/>
      <c r="HHG15" s="66"/>
      <c r="HHH15" s="66"/>
      <c r="HHI15" s="66"/>
      <c r="HHJ15" s="66"/>
      <c r="HHK15" s="66"/>
      <c r="HHL15" s="66"/>
      <c r="HHM15" s="66"/>
      <c r="HHN15" s="66"/>
      <c r="HHO15" s="66"/>
      <c r="HHP15" s="66"/>
      <c r="HHQ15" s="66"/>
      <c r="HHR15" s="66"/>
      <c r="HHS15" s="66"/>
      <c r="HHT15" s="66"/>
      <c r="HHU15" s="66"/>
      <c r="HHV15" s="66"/>
      <c r="HHW15" s="66"/>
      <c r="HHX15" s="66"/>
      <c r="HHY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IZ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N15" s="66"/>
      <c r="HJO15" s="66"/>
      <c r="HJP15" s="66"/>
      <c r="HJQ15" s="66"/>
      <c r="HJR15" s="66"/>
      <c r="HJS15" s="66"/>
      <c r="HJT15" s="66"/>
      <c r="HJU15" s="66"/>
      <c r="HJV15" s="66"/>
      <c r="HJW15" s="66"/>
      <c r="HJX15" s="66"/>
      <c r="HJY15" s="66"/>
      <c r="HJZ15" s="66"/>
      <c r="HKA15" s="66"/>
      <c r="HKB15" s="66"/>
      <c r="HKC15" s="66"/>
      <c r="HKD15" s="66"/>
      <c r="HKE15" s="66"/>
      <c r="HKF15" s="66"/>
      <c r="HKG15" s="66"/>
      <c r="HKH15" s="66"/>
      <c r="HKI15" s="66"/>
      <c r="HKJ15" s="66"/>
      <c r="HKK15" s="66"/>
      <c r="HKL15" s="66"/>
      <c r="HKM15" s="66"/>
      <c r="HKN15" s="66"/>
      <c r="HKO15" s="66"/>
      <c r="HKP15" s="66"/>
      <c r="HKQ15" s="66"/>
      <c r="HKR15" s="66"/>
      <c r="HKS15" s="66"/>
      <c r="HKT15" s="66"/>
      <c r="HKU15" s="66"/>
      <c r="HKV15" s="66"/>
      <c r="HKW15" s="66"/>
      <c r="HKX15" s="66"/>
      <c r="HKY15" s="66"/>
      <c r="HKZ15" s="66"/>
      <c r="HLA15" s="66"/>
      <c r="HLB15" s="66"/>
      <c r="HLC15" s="66"/>
      <c r="HLD15" s="66"/>
      <c r="HLE15" s="66"/>
      <c r="HLF15" s="66"/>
      <c r="HLG15" s="66"/>
      <c r="HLH15" s="66"/>
      <c r="HLI15" s="66"/>
      <c r="HLJ15" s="66"/>
      <c r="HLK15" s="66"/>
      <c r="HLL15" s="66"/>
      <c r="HLM15" s="66"/>
      <c r="HLN15" s="66"/>
      <c r="HLO15" s="66"/>
      <c r="HLP15" s="66"/>
      <c r="HLQ15" s="66"/>
      <c r="HLR15" s="66"/>
      <c r="HLS15" s="66"/>
      <c r="HLT15" s="66"/>
      <c r="HLU15" s="66"/>
      <c r="HLV15" s="66"/>
      <c r="HLW15" s="66"/>
      <c r="HLX15" s="66"/>
      <c r="HLY15" s="66"/>
      <c r="HLZ15" s="66"/>
      <c r="HMA15" s="66"/>
      <c r="HMB15" s="66"/>
      <c r="HMC15" s="66"/>
      <c r="HMD15" s="66"/>
      <c r="HME15" s="66"/>
      <c r="HMF15" s="66"/>
      <c r="HMG15" s="66"/>
      <c r="HMH15" s="66"/>
      <c r="HMI15" s="66"/>
      <c r="HMJ15" s="66"/>
      <c r="HMK15" s="66"/>
      <c r="HML15" s="66"/>
      <c r="HMM15" s="66"/>
      <c r="HMN15" s="66"/>
      <c r="HMO15" s="66"/>
      <c r="HMP15" s="66"/>
      <c r="HMQ15" s="66"/>
      <c r="HMR15" s="66"/>
      <c r="HMS15" s="66"/>
      <c r="HMT15" s="66"/>
      <c r="HMU15" s="66"/>
      <c r="HMV15" s="66"/>
      <c r="HMW15" s="66"/>
      <c r="HMX15" s="66"/>
      <c r="HMY15" s="66"/>
      <c r="HMZ15" s="66"/>
      <c r="HNA15" s="66"/>
      <c r="HNB15" s="66"/>
      <c r="HNC15" s="66"/>
      <c r="HND15" s="66"/>
      <c r="HNE15" s="66"/>
      <c r="HNF15" s="66"/>
      <c r="HNG15" s="66"/>
      <c r="HNH15" s="66"/>
      <c r="HNI15" s="66"/>
      <c r="HNJ15" s="66"/>
      <c r="HNK15" s="66"/>
      <c r="HNL15" s="66"/>
      <c r="HNM15" s="66"/>
      <c r="HNN15" s="66"/>
      <c r="HNO15" s="66"/>
      <c r="HNP15" s="66"/>
      <c r="HNQ15" s="66"/>
      <c r="HNR15" s="66"/>
      <c r="HNS15" s="66"/>
      <c r="HNT15" s="66"/>
      <c r="HNU15" s="66"/>
      <c r="HNV15" s="66"/>
      <c r="HNW15" s="66"/>
      <c r="HNX15" s="66"/>
      <c r="HNY15" s="66"/>
      <c r="HNZ15" s="66"/>
      <c r="HOA15" s="66"/>
      <c r="HOB15" s="66"/>
      <c r="HOC15" s="66"/>
      <c r="HOD15" s="66"/>
      <c r="HOE15" s="66"/>
      <c r="HOF15" s="66"/>
      <c r="HOG15" s="66"/>
      <c r="HOH15" s="66"/>
      <c r="HOI15" s="66"/>
      <c r="HOJ15" s="66"/>
      <c r="HOK15" s="66"/>
      <c r="HOL15" s="66"/>
      <c r="HOM15" s="66"/>
      <c r="HON15" s="66"/>
      <c r="HOO15" s="66"/>
      <c r="HOP15" s="66"/>
      <c r="HOQ15" s="66"/>
      <c r="HOR15" s="66"/>
      <c r="HOS15" s="66"/>
      <c r="HOT15" s="66"/>
      <c r="HOU15" s="66"/>
      <c r="HOV15" s="66"/>
      <c r="HOW15" s="66"/>
      <c r="HOX15" s="66"/>
      <c r="HOY15" s="66"/>
      <c r="HOZ15" s="66"/>
      <c r="HPA15" s="66"/>
      <c r="HPB15" s="66"/>
      <c r="HPC15" s="66"/>
      <c r="HPD15" s="66"/>
      <c r="HPE15" s="66"/>
      <c r="HPF15" s="66"/>
      <c r="HPG15" s="66"/>
      <c r="HPH15" s="66"/>
      <c r="HPI15" s="66"/>
      <c r="HPJ15" s="66"/>
      <c r="HPK15" s="66"/>
      <c r="HPL15" s="66"/>
      <c r="HPM15" s="66"/>
      <c r="HPN15" s="66"/>
      <c r="HPO15" s="66"/>
      <c r="HPP15" s="66"/>
      <c r="HPQ15" s="66"/>
      <c r="HPR15" s="66"/>
      <c r="HPS15" s="66"/>
      <c r="HPT15" s="66"/>
      <c r="HPU15" s="66"/>
      <c r="HPV15" s="66"/>
      <c r="HPW15" s="66"/>
      <c r="HPX15" s="66"/>
      <c r="HPY15" s="66"/>
      <c r="HPZ15" s="66"/>
      <c r="HQA15" s="66"/>
      <c r="HQB15" s="66"/>
      <c r="HQC15" s="66"/>
      <c r="HQD15" s="66"/>
      <c r="HQE15" s="66"/>
      <c r="HQF15" s="66"/>
      <c r="HQG15" s="66"/>
      <c r="HQH15" s="66"/>
      <c r="HQI15" s="66"/>
      <c r="HQJ15" s="66"/>
      <c r="HQK15" s="66"/>
      <c r="HQL15" s="66"/>
      <c r="HQM15" s="66"/>
      <c r="HQN15" s="66"/>
      <c r="HQO15" s="66"/>
      <c r="HQP15" s="66"/>
      <c r="HQQ15" s="66"/>
      <c r="HQR15" s="66"/>
      <c r="HQS15" s="66"/>
      <c r="HQT15" s="66"/>
      <c r="HQU15" s="66"/>
      <c r="HQV15" s="66"/>
      <c r="HQW15" s="66"/>
      <c r="HQX15" s="66"/>
      <c r="HQY15" s="66"/>
      <c r="HQZ15" s="66"/>
      <c r="HRA15" s="66"/>
      <c r="HRB15" s="66"/>
      <c r="HRC15" s="66"/>
      <c r="HRD15" s="66"/>
      <c r="HRE15" s="66"/>
      <c r="HRF15" s="66"/>
      <c r="HRG15" s="66"/>
      <c r="HRH15" s="66"/>
      <c r="HRI15" s="66"/>
      <c r="HRJ15" s="66"/>
      <c r="HRK15" s="66"/>
      <c r="HRL15" s="66"/>
      <c r="HRM15" s="66"/>
      <c r="HRN15" s="66"/>
      <c r="HRO15" s="66"/>
      <c r="HRP15" s="66"/>
      <c r="HRQ15" s="66"/>
      <c r="HRR15" s="66"/>
      <c r="HRS15" s="66"/>
      <c r="HRT15" s="66"/>
      <c r="HRU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V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J15" s="66"/>
      <c r="HTK15" s="66"/>
      <c r="HTL15" s="66"/>
      <c r="HTM15" s="66"/>
      <c r="HTN15" s="66"/>
      <c r="HTO15" s="66"/>
      <c r="HTP15" s="66"/>
      <c r="HTQ15" s="66"/>
      <c r="HTR15" s="66"/>
      <c r="HTS15" s="66"/>
      <c r="HTT15" s="66"/>
      <c r="HTU15" s="66"/>
      <c r="HTV15" s="66"/>
      <c r="HTW15" s="66"/>
      <c r="HTX15" s="66"/>
      <c r="HTY15" s="66"/>
      <c r="HTZ15" s="66"/>
      <c r="HUA15" s="66"/>
      <c r="HUB15" s="66"/>
      <c r="HUC15" s="66"/>
      <c r="HUD15" s="66"/>
      <c r="HUE15" s="66"/>
      <c r="HUF15" s="66"/>
      <c r="HUG15" s="66"/>
      <c r="HUH15" s="66"/>
      <c r="HUI15" s="66"/>
      <c r="HUJ15" s="66"/>
      <c r="HUK15" s="66"/>
      <c r="HUL15" s="66"/>
      <c r="HUM15" s="66"/>
      <c r="HUN15" s="66"/>
      <c r="HUO15" s="66"/>
      <c r="HUP15" s="66"/>
      <c r="HUQ15" s="66"/>
      <c r="HUR15" s="66"/>
      <c r="HUS15" s="66"/>
      <c r="HUT15" s="66"/>
      <c r="HUU15" s="66"/>
      <c r="HUV15" s="66"/>
      <c r="HUW15" s="66"/>
      <c r="HUX15" s="66"/>
      <c r="HUY15" s="66"/>
      <c r="HUZ15" s="66"/>
      <c r="HVA15" s="66"/>
      <c r="HVB15" s="66"/>
      <c r="HVC15" s="66"/>
      <c r="HVD15" s="66"/>
      <c r="HVE15" s="66"/>
      <c r="HVF15" s="66"/>
      <c r="HVG15" s="66"/>
      <c r="HVH15" s="66"/>
      <c r="HVI15" s="66"/>
      <c r="HVJ15" s="66"/>
      <c r="HVK15" s="66"/>
      <c r="HVL15" s="66"/>
      <c r="HVM15" s="66"/>
      <c r="HVN15" s="66"/>
      <c r="HVO15" s="66"/>
      <c r="HVP15" s="66"/>
      <c r="HVQ15" s="66"/>
      <c r="HVR15" s="66"/>
      <c r="HVS15" s="66"/>
      <c r="HVT15" s="66"/>
      <c r="HVU15" s="66"/>
      <c r="HVV15" s="66"/>
      <c r="HVW15" s="66"/>
      <c r="HVX15" s="66"/>
      <c r="HVY15" s="66"/>
      <c r="HVZ15" s="66"/>
      <c r="HWA15" s="66"/>
      <c r="HWB15" s="66"/>
      <c r="HWC15" s="66"/>
      <c r="HWD15" s="66"/>
      <c r="HWE15" s="66"/>
      <c r="HWF15" s="66"/>
      <c r="HWG15" s="66"/>
      <c r="HWH15" s="66"/>
      <c r="HWI15" s="66"/>
      <c r="HWJ15" s="66"/>
      <c r="HWK15" s="66"/>
      <c r="HWL15" s="66"/>
      <c r="HWM15" s="66"/>
      <c r="HWN15" s="66"/>
      <c r="HWO15" s="66"/>
      <c r="HWP15" s="66"/>
      <c r="HWQ15" s="66"/>
      <c r="HWR15" s="66"/>
      <c r="HWS15" s="66"/>
      <c r="HWT15" s="66"/>
      <c r="HWU15" s="66"/>
      <c r="HWV15" s="66"/>
      <c r="HWW15" s="66"/>
      <c r="HWX15" s="66"/>
      <c r="HWY15" s="66"/>
      <c r="HWZ15" s="66"/>
      <c r="HXA15" s="66"/>
      <c r="HXB15" s="66"/>
      <c r="HXC15" s="66"/>
      <c r="HXD15" s="66"/>
      <c r="HXE15" s="66"/>
      <c r="HXF15" s="66"/>
      <c r="HXG15" s="66"/>
      <c r="HXH15" s="66"/>
      <c r="HXI15" s="66"/>
      <c r="HXJ15" s="66"/>
      <c r="HXK15" s="66"/>
      <c r="HXL15" s="66"/>
      <c r="HXM15" s="66"/>
      <c r="HXN15" s="66"/>
      <c r="HXO15" s="66"/>
      <c r="HXP15" s="66"/>
      <c r="HXQ15" s="66"/>
      <c r="HXR15" s="66"/>
      <c r="HXS15" s="66"/>
      <c r="HXT15" s="66"/>
      <c r="HXU15" s="66"/>
      <c r="HXV15" s="66"/>
      <c r="HXW15" s="66"/>
      <c r="HXX15" s="66"/>
      <c r="HXY15" s="66"/>
      <c r="HXZ15" s="66"/>
      <c r="HYA15" s="66"/>
      <c r="HYB15" s="66"/>
      <c r="HYC15" s="66"/>
      <c r="HYD15" s="66"/>
      <c r="HYE15" s="66"/>
      <c r="HYF15" s="66"/>
      <c r="HYG15" s="66"/>
      <c r="HYH15" s="66"/>
      <c r="HYI15" s="66"/>
      <c r="HYJ15" s="66"/>
      <c r="HYK15" s="66"/>
      <c r="HYL15" s="66"/>
      <c r="HYM15" s="66"/>
      <c r="HYN15" s="66"/>
      <c r="HYO15" s="66"/>
      <c r="HYP15" s="66"/>
      <c r="HYQ15" s="66"/>
      <c r="HYR15" s="66"/>
      <c r="HYS15" s="66"/>
      <c r="HYT15" s="66"/>
      <c r="HYU15" s="66"/>
      <c r="HYV15" s="66"/>
      <c r="HYW15" s="66"/>
      <c r="HYX15" s="66"/>
      <c r="HYY15" s="66"/>
      <c r="HYZ15" s="66"/>
      <c r="HZA15" s="66"/>
      <c r="HZB15" s="66"/>
      <c r="HZC15" s="66"/>
      <c r="HZD15" s="66"/>
      <c r="HZE15" s="66"/>
      <c r="HZF15" s="66"/>
      <c r="HZG15" s="66"/>
      <c r="HZH15" s="66"/>
      <c r="HZI15" s="66"/>
      <c r="HZJ15" s="66"/>
      <c r="HZK15" s="66"/>
      <c r="HZL15" s="66"/>
      <c r="HZM15" s="66"/>
      <c r="HZN15" s="66"/>
      <c r="HZO15" s="66"/>
      <c r="HZP15" s="66"/>
      <c r="HZQ15" s="66"/>
      <c r="HZR15" s="66"/>
      <c r="HZS15" s="66"/>
      <c r="HZT15" s="66"/>
      <c r="HZU15" s="66"/>
      <c r="HZV15" s="66"/>
      <c r="HZW15" s="66"/>
      <c r="HZX15" s="66"/>
      <c r="HZY15" s="66"/>
      <c r="HZZ15" s="66"/>
      <c r="IAA15" s="66"/>
      <c r="IAB15" s="66"/>
      <c r="IAC15" s="66"/>
      <c r="IAD15" s="66"/>
      <c r="IAE15" s="66"/>
      <c r="IAF15" s="66"/>
      <c r="IAG15" s="66"/>
      <c r="IAH15" s="66"/>
      <c r="IAI15" s="66"/>
      <c r="IAJ15" s="66"/>
      <c r="IAK15" s="66"/>
      <c r="IAL15" s="66"/>
      <c r="IAM15" s="66"/>
      <c r="IAN15" s="66"/>
      <c r="IAO15" s="66"/>
      <c r="IAP15" s="66"/>
      <c r="IAQ15" s="66"/>
      <c r="IAR15" s="66"/>
      <c r="IAS15" s="66"/>
      <c r="IAT15" s="66"/>
      <c r="IAU15" s="66"/>
      <c r="IAV15" s="66"/>
      <c r="IAW15" s="66"/>
      <c r="IAX15" s="66"/>
      <c r="IAY15" s="66"/>
      <c r="IAZ15" s="66"/>
      <c r="IBA15" s="66"/>
      <c r="IBB15" s="66"/>
      <c r="IBC15" s="66"/>
      <c r="IBD15" s="66"/>
      <c r="IBE15" s="66"/>
      <c r="IBF15" s="66"/>
      <c r="IBG15" s="66"/>
      <c r="IBH15" s="66"/>
      <c r="IBI15" s="66"/>
      <c r="IBJ15" s="66"/>
      <c r="IBK15" s="66"/>
      <c r="IBL15" s="66"/>
      <c r="IBM15" s="66"/>
      <c r="IBN15" s="66"/>
      <c r="IBO15" s="66"/>
      <c r="IBP15" s="66"/>
      <c r="IBQ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R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F15" s="66"/>
      <c r="IDG15" s="66"/>
      <c r="IDH15" s="66"/>
      <c r="IDI15" s="66"/>
      <c r="IDJ15" s="66"/>
      <c r="IDK15" s="66"/>
      <c r="IDL15" s="66"/>
      <c r="IDM15" s="66"/>
      <c r="IDN15" s="66"/>
      <c r="IDO15" s="66"/>
      <c r="IDP15" s="66"/>
      <c r="IDQ15" s="66"/>
      <c r="IDR15" s="66"/>
      <c r="IDS15" s="66"/>
      <c r="IDT15" s="66"/>
      <c r="IDU15" s="66"/>
      <c r="IDV15" s="66"/>
      <c r="IDW15" s="66"/>
      <c r="IDX15" s="66"/>
      <c r="IDY15" s="66"/>
      <c r="IDZ15" s="66"/>
      <c r="IEA15" s="66"/>
      <c r="IEB15" s="66"/>
      <c r="IEC15" s="66"/>
      <c r="IED15" s="66"/>
      <c r="IEE15" s="66"/>
      <c r="IEF15" s="66"/>
      <c r="IEG15" s="66"/>
      <c r="IEH15" s="66"/>
      <c r="IEI15" s="66"/>
      <c r="IEJ15" s="66"/>
      <c r="IEK15" s="66"/>
      <c r="IEL15" s="66"/>
      <c r="IEM15" s="66"/>
      <c r="IEN15" s="66"/>
      <c r="IEO15" s="66"/>
      <c r="IEP15" s="66"/>
      <c r="IEQ15" s="66"/>
      <c r="IER15" s="66"/>
      <c r="IES15" s="66"/>
      <c r="IET15" s="66"/>
      <c r="IEU15" s="66"/>
      <c r="IEV15" s="66"/>
      <c r="IEW15" s="66"/>
      <c r="IEX15" s="66"/>
      <c r="IEY15" s="66"/>
      <c r="IEZ15" s="66"/>
      <c r="IFA15" s="66"/>
      <c r="IFB15" s="66"/>
      <c r="IFC15" s="66"/>
      <c r="IFD15" s="66"/>
      <c r="IFE15" s="66"/>
      <c r="IFF15" s="66"/>
      <c r="IFG15" s="66"/>
      <c r="IFH15" s="66"/>
      <c r="IFI15" s="66"/>
      <c r="IFJ15" s="66"/>
      <c r="IFK15" s="66"/>
      <c r="IFL15" s="66"/>
      <c r="IFM15" s="66"/>
      <c r="IFN15" s="66"/>
      <c r="IFO15" s="66"/>
      <c r="IFP15" s="66"/>
      <c r="IFQ15" s="66"/>
      <c r="IFR15" s="66"/>
      <c r="IFS15" s="66"/>
      <c r="IFT15" s="66"/>
      <c r="IFU15" s="66"/>
      <c r="IFV15" s="66"/>
      <c r="IFW15" s="66"/>
      <c r="IFX15" s="66"/>
      <c r="IFY15" s="66"/>
      <c r="IFZ15" s="66"/>
      <c r="IGA15" s="66"/>
      <c r="IGB15" s="66"/>
      <c r="IGC15" s="66"/>
      <c r="IGD15" s="66"/>
      <c r="IGE15" s="66"/>
      <c r="IGF15" s="66"/>
      <c r="IGG15" s="66"/>
      <c r="IGH15" s="66"/>
      <c r="IGI15" s="66"/>
      <c r="IGJ15" s="66"/>
      <c r="IGK15" s="66"/>
      <c r="IGL15" s="66"/>
      <c r="IGM15" s="66"/>
      <c r="IGN15" s="66"/>
      <c r="IGO15" s="66"/>
      <c r="IGP15" s="66"/>
      <c r="IGQ15" s="66"/>
      <c r="IGR15" s="66"/>
      <c r="IGS15" s="66"/>
      <c r="IGT15" s="66"/>
      <c r="IGU15" s="66"/>
      <c r="IGV15" s="66"/>
      <c r="IGW15" s="66"/>
      <c r="IGX15" s="66"/>
      <c r="IGY15" s="66"/>
      <c r="IGZ15" s="66"/>
      <c r="IHA15" s="66"/>
      <c r="IHB15" s="66"/>
      <c r="IHC15" s="66"/>
      <c r="IHD15" s="66"/>
      <c r="IHE15" s="66"/>
      <c r="IHF15" s="66"/>
      <c r="IHG15" s="66"/>
      <c r="IHH15" s="66"/>
      <c r="IHI15" s="66"/>
      <c r="IHJ15" s="66"/>
      <c r="IHK15" s="66"/>
      <c r="IHL15" s="66"/>
      <c r="IHM15" s="66"/>
      <c r="IHN15" s="66"/>
      <c r="IHO15" s="66"/>
      <c r="IHP15" s="66"/>
      <c r="IHQ15" s="66"/>
      <c r="IHR15" s="66"/>
      <c r="IHS15" s="66"/>
      <c r="IHT15" s="66"/>
      <c r="IHU15" s="66"/>
      <c r="IHV15" s="66"/>
      <c r="IHW15" s="66"/>
      <c r="IHX15" s="66"/>
      <c r="IHY15" s="66"/>
      <c r="IHZ15" s="66"/>
      <c r="IIA15" s="66"/>
      <c r="IIB15" s="66"/>
      <c r="IIC15" s="66"/>
      <c r="IID15" s="66"/>
      <c r="IIE15" s="66"/>
      <c r="IIF15" s="66"/>
      <c r="IIG15" s="66"/>
      <c r="IIH15" s="66"/>
      <c r="III15" s="66"/>
      <c r="IIJ15" s="66"/>
      <c r="IIK15" s="66"/>
      <c r="IIL15" s="66"/>
      <c r="IIM15" s="66"/>
      <c r="IIN15" s="66"/>
      <c r="IIO15" s="66"/>
      <c r="IIP15" s="66"/>
      <c r="IIQ15" s="66"/>
      <c r="IIR15" s="66"/>
      <c r="IIS15" s="66"/>
      <c r="IIT15" s="66"/>
      <c r="IIU15" s="66"/>
      <c r="IIV15" s="66"/>
      <c r="IIW15" s="66"/>
      <c r="IIX15" s="66"/>
      <c r="IIY15" s="66"/>
      <c r="IIZ15" s="66"/>
      <c r="IJA15" s="66"/>
      <c r="IJB15" s="66"/>
      <c r="IJC15" s="66"/>
      <c r="IJD15" s="66"/>
      <c r="IJE15" s="66"/>
      <c r="IJF15" s="66"/>
      <c r="IJG15" s="66"/>
      <c r="IJH15" s="66"/>
      <c r="IJI15" s="66"/>
      <c r="IJJ15" s="66"/>
      <c r="IJK15" s="66"/>
      <c r="IJL15" s="66"/>
      <c r="IJM15" s="66"/>
      <c r="IJN15" s="66"/>
      <c r="IJO15" s="66"/>
      <c r="IJP15" s="66"/>
      <c r="IJQ15" s="66"/>
      <c r="IJR15" s="66"/>
      <c r="IJS15" s="66"/>
      <c r="IJT15" s="66"/>
      <c r="IJU15" s="66"/>
      <c r="IJV15" s="66"/>
      <c r="IJW15" s="66"/>
      <c r="IJX15" s="66"/>
      <c r="IJY15" s="66"/>
      <c r="IJZ15" s="66"/>
      <c r="IKA15" s="66"/>
      <c r="IKB15" s="66"/>
      <c r="IKC15" s="66"/>
      <c r="IKD15" s="66"/>
      <c r="IKE15" s="66"/>
      <c r="IKF15" s="66"/>
      <c r="IKG15" s="66"/>
      <c r="IKH15" s="66"/>
      <c r="IKI15" s="66"/>
      <c r="IKJ15" s="66"/>
      <c r="IKK15" s="66"/>
      <c r="IKL15" s="66"/>
      <c r="IKM15" s="66"/>
      <c r="IKN15" s="66"/>
      <c r="IKO15" s="66"/>
      <c r="IKP15" s="66"/>
      <c r="IKQ15" s="66"/>
      <c r="IKR15" s="66"/>
      <c r="IKS15" s="66"/>
      <c r="IKT15" s="66"/>
      <c r="IKU15" s="66"/>
      <c r="IKV15" s="66"/>
      <c r="IKW15" s="66"/>
      <c r="IKX15" s="66"/>
      <c r="IKY15" s="66"/>
      <c r="IKZ15" s="66"/>
      <c r="ILA15" s="66"/>
      <c r="ILB15" s="66"/>
      <c r="ILC15" s="66"/>
      <c r="ILD15" s="66"/>
      <c r="ILE15" s="66"/>
      <c r="ILF15" s="66"/>
      <c r="ILG15" s="66"/>
      <c r="ILH15" s="66"/>
      <c r="ILI15" s="66"/>
      <c r="ILJ15" s="66"/>
      <c r="ILK15" s="66"/>
      <c r="ILL15" s="66"/>
      <c r="ILM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N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B15" s="66"/>
      <c r="INC15" s="66"/>
      <c r="IND15" s="66"/>
      <c r="INE15" s="66"/>
      <c r="INF15" s="66"/>
      <c r="ING15" s="66"/>
      <c r="INH15" s="66"/>
      <c r="INI15" s="66"/>
      <c r="INJ15" s="66"/>
      <c r="INK15" s="66"/>
      <c r="INL15" s="66"/>
      <c r="INM15" s="66"/>
      <c r="INN15" s="66"/>
      <c r="INO15" s="66"/>
      <c r="INP15" s="66"/>
      <c r="INQ15" s="66"/>
      <c r="INR15" s="66"/>
      <c r="INS15" s="66"/>
      <c r="INT15" s="66"/>
      <c r="INU15" s="66"/>
      <c r="INV15" s="66"/>
      <c r="INW15" s="66"/>
      <c r="INX15" s="66"/>
      <c r="INY15" s="66"/>
      <c r="INZ15" s="66"/>
      <c r="IOA15" s="66"/>
      <c r="IOB15" s="66"/>
      <c r="IOC15" s="66"/>
      <c r="IOD15" s="66"/>
      <c r="IOE15" s="66"/>
      <c r="IOF15" s="66"/>
      <c r="IOG15" s="66"/>
      <c r="IOH15" s="66"/>
      <c r="IOI15" s="66"/>
      <c r="IOJ15" s="66"/>
      <c r="IOK15" s="66"/>
      <c r="IOL15" s="66"/>
      <c r="IOM15" s="66"/>
      <c r="ION15" s="66"/>
      <c r="IOO15" s="66"/>
      <c r="IOP15" s="66"/>
      <c r="IOQ15" s="66"/>
      <c r="IOR15" s="66"/>
      <c r="IOS15" s="66"/>
      <c r="IOT15" s="66"/>
      <c r="IOU15" s="66"/>
      <c r="IOV15" s="66"/>
      <c r="IOW15" s="66"/>
      <c r="IOX15" s="66"/>
      <c r="IOY15" s="66"/>
      <c r="IOZ15" s="66"/>
      <c r="IPA15" s="66"/>
      <c r="IPB15" s="66"/>
      <c r="IPC15" s="66"/>
      <c r="IPD15" s="66"/>
      <c r="IPE15" s="66"/>
      <c r="IPF15" s="66"/>
      <c r="IPG15" s="66"/>
      <c r="IPH15" s="66"/>
      <c r="IPI15" s="66"/>
      <c r="IPJ15" s="66"/>
      <c r="IPK15" s="66"/>
      <c r="IPL15" s="66"/>
      <c r="IPM15" s="66"/>
      <c r="IPN15" s="66"/>
      <c r="IPO15" s="66"/>
      <c r="IPP15" s="66"/>
      <c r="IPQ15" s="66"/>
      <c r="IPR15" s="66"/>
      <c r="IPS15" s="66"/>
      <c r="IPT15" s="66"/>
      <c r="IPU15" s="66"/>
      <c r="IPV15" s="66"/>
      <c r="IPW15" s="66"/>
      <c r="IPX15" s="66"/>
      <c r="IPY15" s="66"/>
      <c r="IPZ15" s="66"/>
      <c r="IQA15" s="66"/>
      <c r="IQB15" s="66"/>
      <c r="IQC15" s="66"/>
      <c r="IQD15" s="66"/>
      <c r="IQE15" s="66"/>
      <c r="IQF15" s="66"/>
      <c r="IQG15" s="66"/>
      <c r="IQH15" s="66"/>
      <c r="IQI15" s="66"/>
      <c r="IQJ15" s="66"/>
      <c r="IQK15" s="66"/>
      <c r="IQL15" s="66"/>
      <c r="IQM15" s="66"/>
      <c r="IQN15" s="66"/>
      <c r="IQO15" s="66"/>
      <c r="IQP15" s="66"/>
      <c r="IQQ15" s="66"/>
      <c r="IQR15" s="66"/>
      <c r="IQS15" s="66"/>
      <c r="IQT15" s="66"/>
      <c r="IQU15" s="66"/>
      <c r="IQV15" s="66"/>
      <c r="IQW15" s="66"/>
      <c r="IQX15" s="66"/>
      <c r="IQY15" s="66"/>
      <c r="IQZ15" s="66"/>
      <c r="IRA15" s="66"/>
      <c r="IRB15" s="66"/>
      <c r="IRC15" s="66"/>
      <c r="IRD15" s="66"/>
      <c r="IRE15" s="66"/>
      <c r="IRF15" s="66"/>
      <c r="IRG15" s="66"/>
      <c r="IRH15" s="66"/>
      <c r="IRI15" s="66"/>
      <c r="IRJ15" s="66"/>
      <c r="IRK15" s="66"/>
      <c r="IRL15" s="66"/>
      <c r="IRM15" s="66"/>
      <c r="IRN15" s="66"/>
      <c r="IRO15" s="66"/>
      <c r="IRP15" s="66"/>
      <c r="IRQ15" s="66"/>
      <c r="IRR15" s="66"/>
      <c r="IRS15" s="66"/>
      <c r="IRT15" s="66"/>
      <c r="IRU15" s="66"/>
      <c r="IRV15" s="66"/>
      <c r="IRW15" s="66"/>
      <c r="IRX15" s="66"/>
      <c r="IRY15" s="66"/>
      <c r="IRZ15" s="66"/>
      <c r="ISA15" s="66"/>
      <c r="ISB15" s="66"/>
      <c r="ISC15" s="66"/>
      <c r="ISD15" s="66"/>
      <c r="ISE15" s="66"/>
      <c r="ISF15" s="66"/>
      <c r="ISG15" s="66"/>
      <c r="ISH15" s="66"/>
      <c r="ISI15" s="66"/>
      <c r="ISJ15" s="66"/>
      <c r="ISK15" s="66"/>
      <c r="ISL15" s="66"/>
      <c r="ISM15" s="66"/>
      <c r="ISN15" s="66"/>
      <c r="ISO15" s="66"/>
      <c r="ISP15" s="66"/>
      <c r="ISQ15" s="66"/>
      <c r="ISR15" s="66"/>
      <c r="ISS15" s="66"/>
      <c r="IST15" s="66"/>
      <c r="ISU15" s="66"/>
      <c r="ISV15" s="66"/>
      <c r="ISW15" s="66"/>
      <c r="ISX15" s="66"/>
      <c r="ISY15" s="66"/>
      <c r="ISZ15" s="66"/>
      <c r="ITA15" s="66"/>
      <c r="ITB15" s="66"/>
      <c r="ITC15" s="66"/>
      <c r="ITD15" s="66"/>
      <c r="ITE15" s="66"/>
      <c r="ITF15" s="66"/>
      <c r="ITG15" s="66"/>
      <c r="ITH15" s="66"/>
      <c r="ITI15" s="66"/>
      <c r="ITJ15" s="66"/>
      <c r="ITK15" s="66"/>
      <c r="ITL15" s="66"/>
      <c r="ITM15" s="66"/>
      <c r="ITN15" s="66"/>
      <c r="ITO15" s="66"/>
      <c r="ITP15" s="66"/>
      <c r="ITQ15" s="66"/>
      <c r="ITR15" s="66"/>
      <c r="ITS15" s="66"/>
      <c r="ITT15" s="66"/>
      <c r="ITU15" s="66"/>
      <c r="ITV15" s="66"/>
      <c r="ITW15" s="66"/>
      <c r="ITX15" s="66"/>
      <c r="ITY15" s="66"/>
      <c r="ITZ15" s="66"/>
      <c r="IUA15" s="66"/>
      <c r="IUB15" s="66"/>
      <c r="IUC15" s="66"/>
      <c r="IUD15" s="66"/>
      <c r="IUE15" s="66"/>
      <c r="IUF15" s="66"/>
      <c r="IUG15" s="66"/>
      <c r="IUH15" s="66"/>
      <c r="IUI15" s="66"/>
      <c r="IUJ15" s="66"/>
      <c r="IUK15" s="66"/>
      <c r="IUL15" s="66"/>
      <c r="IUM15" s="66"/>
      <c r="IUN15" s="66"/>
      <c r="IUO15" s="66"/>
      <c r="IUP15" s="66"/>
      <c r="IUQ15" s="66"/>
      <c r="IUR15" s="66"/>
      <c r="IUS15" s="66"/>
      <c r="IUT15" s="66"/>
      <c r="IUU15" s="66"/>
      <c r="IUV15" s="66"/>
      <c r="IUW15" s="66"/>
      <c r="IUX15" s="66"/>
      <c r="IUY15" s="66"/>
      <c r="IUZ15" s="66"/>
      <c r="IVA15" s="66"/>
      <c r="IVB15" s="66"/>
      <c r="IVC15" s="66"/>
      <c r="IVD15" s="66"/>
      <c r="IVE15" s="66"/>
      <c r="IVF15" s="66"/>
      <c r="IVG15" s="66"/>
      <c r="IVH15" s="66"/>
      <c r="IVI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J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X15" s="66"/>
      <c r="IWY15" s="66"/>
      <c r="IWZ15" s="66"/>
      <c r="IXA15" s="66"/>
      <c r="IXB15" s="66"/>
      <c r="IXC15" s="66"/>
      <c r="IXD15" s="66"/>
      <c r="IXE15" s="66"/>
      <c r="IXF15" s="66"/>
      <c r="IXG15" s="66"/>
      <c r="IXH15" s="66"/>
      <c r="IXI15" s="66"/>
      <c r="IXJ15" s="66"/>
      <c r="IXK15" s="66"/>
      <c r="IXL15" s="66"/>
      <c r="IXM15" s="66"/>
      <c r="IXN15" s="66"/>
      <c r="IXO15" s="66"/>
      <c r="IXP15" s="66"/>
      <c r="IXQ15" s="66"/>
      <c r="IXR15" s="66"/>
      <c r="IXS15" s="66"/>
      <c r="IXT15" s="66"/>
      <c r="IXU15" s="66"/>
      <c r="IXV15" s="66"/>
      <c r="IXW15" s="66"/>
      <c r="IXX15" s="66"/>
      <c r="IXY15" s="66"/>
      <c r="IXZ15" s="66"/>
      <c r="IYA15" s="66"/>
      <c r="IYB15" s="66"/>
      <c r="IYC15" s="66"/>
      <c r="IYD15" s="66"/>
      <c r="IYE15" s="66"/>
      <c r="IYF15" s="66"/>
      <c r="IYG15" s="66"/>
      <c r="IYH15" s="66"/>
      <c r="IYI15" s="66"/>
      <c r="IYJ15" s="66"/>
      <c r="IYK15" s="66"/>
      <c r="IYL15" s="66"/>
      <c r="IYM15" s="66"/>
      <c r="IYN15" s="66"/>
      <c r="IYO15" s="66"/>
      <c r="IYP15" s="66"/>
      <c r="IYQ15" s="66"/>
      <c r="IYR15" s="66"/>
      <c r="IYS15" s="66"/>
      <c r="IYT15" s="66"/>
      <c r="IYU15" s="66"/>
      <c r="IYV15" s="66"/>
      <c r="IYW15" s="66"/>
      <c r="IYX15" s="66"/>
      <c r="IYY15" s="66"/>
      <c r="IYZ15" s="66"/>
      <c r="IZA15" s="66"/>
      <c r="IZB15" s="66"/>
      <c r="IZC15" s="66"/>
      <c r="IZD15" s="66"/>
      <c r="IZE15" s="66"/>
      <c r="IZF15" s="66"/>
      <c r="IZG15" s="66"/>
      <c r="IZH15" s="66"/>
      <c r="IZI15" s="66"/>
      <c r="IZJ15" s="66"/>
      <c r="IZK15" s="66"/>
      <c r="IZL15" s="66"/>
      <c r="IZM15" s="66"/>
      <c r="IZN15" s="66"/>
      <c r="IZO15" s="66"/>
      <c r="IZP15" s="66"/>
      <c r="IZQ15" s="66"/>
      <c r="IZR15" s="66"/>
      <c r="IZS15" s="66"/>
      <c r="IZT15" s="66"/>
      <c r="IZU15" s="66"/>
      <c r="IZV15" s="66"/>
      <c r="IZW15" s="66"/>
      <c r="IZX15" s="66"/>
      <c r="IZY15" s="66"/>
      <c r="IZZ15" s="66"/>
      <c r="JAA15" s="66"/>
      <c r="JAB15" s="66"/>
      <c r="JAC15" s="66"/>
      <c r="JAD15" s="66"/>
      <c r="JAE15" s="66"/>
      <c r="JAF15" s="66"/>
      <c r="JAG15" s="66"/>
      <c r="JAH15" s="66"/>
      <c r="JAI15" s="66"/>
      <c r="JAJ15" s="66"/>
      <c r="JAK15" s="66"/>
      <c r="JAL15" s="66"/>
      <c r="JAM15" s="66"/>
      <c r="JAN15" s="66"/>
      <c r="JAO15" s="66"/>
      <c r="JAP15" s="66"/>
      <c r="JAQ15" s="66"/>
      <c r="JAR15" s="66"/>
      <c r="JAS15" s="66"/>
      <c r="JAT15" s="66"/>
      <c r="JAU15" s="66"/>
      <c r="JAV15" s="66"/>
      <c r="JAW15" s="66"/>
      <c r="JAX15" s="66"/>
      <c r="JAY15" s="66"/>
      <c r="JAZ15" s="66"/>
      <c r="JBA15" s="66"/>
      <c r="JBB15" s="66"/>
      <c r="JBC15" s="66"/>
      <c r="JBD15" s="66"/>
      <c r="JBE15" s="66"/>
      <c r="JBF15" s="66"/>
      <c r="JBG15" s="66"/>
      <c r="JBH15" s="66"/>
      <c r="JBI15" s="66"/>
      <c r="JBJ15" s="66"/>
      <c r="JBK15" s="66"/>
      <c r="JBL15" s="66"/>
      <c r="JBM15" s="66"/>
      <c r="JBN15" s="66"/>
      <c r="JBO15" s="66"/>
      <c r="JBP15" s="66"/>
      <c r="JBQ15" s="66"/>
      <c r="JBR15" s="66"/>
      <c r="JBS15" s="66"/>
      <c r="JBT15" s="66"/>
      <c r="JBU15" s="66"/>
      <c r="JBV15" s="66"/>
      <c r="JBW15" s="66"/>
      <c r="JBX15" s="66"/>
      <c r="JBY15" s="66"/>
      <c r="JBZ15" s="66"/>
      <c r="JCA15" s="66"/>
      <c r="JCB15" s="66"/>
      <c r="JCC15" s="66"/>
      <c r="JCD15" s="66"/>
      <c r="JCE15" s="66"/>
      <c r="JCF15" s="66"/>
      <c r="JCG15" s="66"/>
      <c r="JCH15" s="66"/>
      <c r="JCI15" s="66"/>
      <c r="JCJ15" s="66"/>
      <c r="JCK15" s="66"/>
      <c r="JCL15" s="66"/>
      <c r="JCM15" s="66"/>
      <c r="JCN15" s="66"/>
      <c r="JCO15" s="66"/>
      <c r="JCP15" s="66"/>
      <c r="JCQ15" s="66"/>
      <c r="JCR15" s="66"/>
      <c r="JCS15" s="66"/>
      <c r="JCT15" s="66"/>
      <c r="JCU15" s="66"/>
      <c r="JCV15" s="66"/>
      <c r="JCW15" s="66"/>
      <c r="JCX15" s="66"/>
      <c r="JCY15" s="66"/>
      <c r="JCZ15" s="66"/>
      <c r="JDA15" s="66"/>
      <c r="JDB15" s="66"/>
      <c r="JDC15" s="66"/>
      <c r="JDD15" s="66"/>
      <c r="JDE15" s="66"/>
      <c r="JDF15" s="66"/>
      <c r="JDG15" s="66"/>
      <c r="JDH15" s="66"/>
      <c r="JDI15" s="66"/>
      <c r="JDJ15" s="66"/>
      <c r="JDK15" s="66"/>
      <c r="JDL15" s="66"/>
      <c r="JDM15" s="66"/>
      <c r="JDN15" s="66"/>
      <c r="JDO15" s="66"/>
      <c r="JDP15" s="66"/>
      <c r="JDQ15" s="66"/>
      <c r="JDR15" s="66"/>
      <c r="JDS15" s="66"/>
      <c r="JDT15" s="66"/>
      <c r="JDU15" s="66"/>
      <c r="JDV15" s="66"/>
      <c r="JDW15" s="66"/>
      <c r="JDX15" s="66"/>
      <c r="JDY15" s="66"/>
      <c r="JDZ15" s="66"/>
      <c r="JEA15" s="66"/>
      <c r="JEB15" s="66"/>
      <c r="JEC15" s="66"/>
      <c r="JED15" s="66"/>
      <c r="JEE15" s="66"/>
      <c r="JEF15" s="66"/>
      <c r="JEG15" s="66"/>
      <c r="JEH15" s="66"/>
      <c r="JEI15" s="66"/>
      <c r="JEJ15" s="66"/>
      <c r="JEK15" s="66"/>
      <c r="JEL15" s="66"/>
      <c r="JEM15" s="66"/>
      <c r="JEN15" s="66"/>
      <c r="JEO15" s="66"/>
      <c r="JEP15" s="66"/>
      <c r="JEQ15" s="66"/>
      <c r="JER15" s="66"/>
      <c r="JES15" s="66"/>
      <c r="JET15" s="66"/>
      <c r="JEU15" s="66"/>
      <c r="JEV15" s="66"/>
      <c r="JEW15" s="66"/>
      <c r="JEX15" s="66"/>
      <c r="JEY15" s="66"/>
      <c r="JEZ15" s="66"/>
      <c r="JFA15" s="66"/>
      <c r="JFB15" s="66"/>
      <c r="JFC15" s="66"/>
      <c r="JFD15" s="66"/>
      <c r="JFE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F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T15" s="66"/>
      <c r="JGU15" s="66"/>
      <c r="JGV15" s="66"/>
      <c r="JGW15" s="66"/>
      <c r="JGX15" s="66"/>
      <c r="JGY15" s="66"/>
      <c r="JGZ15" s="66"/>
      <c r="JHA15" s="66"/>
      <c r="JHB15" s="66"/>
      <c r="JHC15" s="66"/>
      <c r="JHD15" s="66"/>
      <c r="JHE15" s="66"/>
      <c r="JHF15" s="66"/>
      <c r="JHG15" s="66"/>
      <c r="JHH15" s="66"/>
      <c r="JHI15" s="66"/>
      <c r="JHJ15" s="66"/>
      <c r="JHK15" s="66"/>
      <c r="JHL15" s="66"/>
      <c r="JHM15" s="66"/>
      <c r="JHN15" s="66"/>
      <c r="JHO15" s="66"/>
      <c r="JHP15" s="66"/>
      <c r="JHQ15" s="66"/>
      <c r="JHR15" s="66"/>
      <c r="JHS15" s="66"/>
      <c r="JHT15" s="66"/>
      <c r="JHU15" s="66"/>
      <c r="JHV15" s="66"/>
      <c r="JHW15" s="66"/>
      <c r="JHX15" s="66"/>
      <c r="JHY15" s="66"/>
      <c r="JHZ15" s="66"/>
      <c r="JIA15" s="66"/>
      <c r="JIB15" s="66"/>
      <c r="JIC15" s="66"/>
      <c r="JID15" s="66"/>
      <c r="JIE15" s="66"/>
      <c r="JIF15" s="66"/>
      <c r="JIG15" s="66"/>
      <c r="JIH15" s="66"/>
      <c r="JII15" s="66"/>
      <c r="JIJ15" s="66"/>
      <c r="JIK15" s="66"/>
      <c r="JIL15" s="66"/>
      <c r="JIM15" s="66"/>
      <c r="JIN15" s="66"/>
      <c r="JIO15" s="66"/>
      <c r="JIP15" s="66"/>
      <c r="JIQ15" s="66"/>
      <c r="JIR15" s="66"/>
      <c r="JIS15" s="66"/>
      <c r="JIT15" s="66"/>
      <c r="JIU15" s="66"/>
      <c r="JIV15" s="66"/>
      <c r="JIW15" s="66"/>
      <c r="JIX15" s="66"/>
      <c r="JIY15" s="66"/>
      <c r="JIZ15" s="66"/>
      <c r="JJA15" s="66"/>
      <c r="JJB15" s="66"/>
      <c r="JJC15" s="66"/>
      <c r="JJD15" s="66"/>
      <c r="JJE15" s="66"/>
      <c r="JJF15" s="66"/>
      <c r="JJG15" s="66"/>
      <c r="JJH15" s="66"/>
      <c r="JJI15" s="66"/>
      <c r="JJJ15" s="66"/>
      <c r="JJK15" s="66"/>
      <c r="JJL15" s="66"/>
      <c r="JJM15" s="66"/>
      <c r="JJN15" s="66"/>
      <c r="JJO15" s="66"/>
      <c r="JJP15" s="66"/>
      <c r="JJQ15" s="66"/>
      <c r="JJR15" s="66"/>
      <c r="JJS15" s="66"/>
      <c r="JJT15" s="66"/>
      <c r="JJU15" s="66"/>
      <c r="JJV15" s="66"/>
      <c r="JJW15" s="66"/>
      <c r="JJX15" s="66"/>
      <c r="JJY15" s="66"/>
      <c r="JJZ15" s="66"/>
      <c r="JKA15" s="66"/>
      <c r="JKB15" s="66"/>
      <c r="JKC15" s="66"/>
      <c r="JKD15" s="66"/>
      <c r="JKE15" s="66"/>
      <c r="JKF15" s="66"/>
      <c r="JKG15" s="66"/>
      <c r="JKH15" s="66"/>
      <c r="JKI15" s="66"/>
      <c r="JKJ15" s="66"/>
      <c r="JKK15" s="66"/>
      <c r="JKL15" s="66"/>
      <c r="JKM15" s="66"/>
      <c r="JKN15" s="66"/>
      <c r="JKO15" s="66"/>
      <c r="JKP15" s="66"/>
      <c r="JKQ15" s="66"/>
      <c r="JKR15" s="66"/>
      <c r="JKS15" s="66"/>
      <c r="JKT15" s="66"/>
      <c r="JKU15" s="66"/>
      <c r="JKV15" s="66"/>
      <c r="JKW15" s="66"/>
      <c r="JKX15" s="66"/>
      <c r="JKY15" s="66"/>
      <c r="JKZ15" s="66"/>
      <c r="JLA15" s="66"/>
      <c r="JLB15" s="66"/>
      <c r="JLC15" s="66"/>
      <c r="JLD15" s="66"/>
      <c r="JLE15" s="66"/>
      <c r="JLF15" s="66"/>
      <c r="JLG15" s="66"/>
      <c r="JLH15" s="66"/>
      <c r="JLI15" s="66"/>
      <c r="JLJ15" s="66"/>
      <c r="JLK15" s="66"/>
      <c r="JLL15" s="66"/>
      <c r="JLM15" s="66"/>
      <c r="JLN15" s="66"/>
      <c r="JLO15" s="66"/>
      <c r="JLP15" s="66"/>
      <c r="JLQ15" s="66"/>
      <c r="JLR15" s="66"/>
      <c r="JLS15" s="66"/>
      <c r="JLT15" s="66"/>
      <c r="JLU15" s="66"/>
      <c r="JLV15" s="66"/>
      <c r="JLW15" s="66"/>
      <c r="JLX15" s="66"/>
      <c r="JLY15" s="66"/>
      <c r="JLZ15" s="66"/>
      <c r="JMA15" s="66"/>
      <c r="JMB15" s="66"/>
      <c r="JMC15" s="66"/>
      <c r="JMD15" s="66"/>
      <c r="JME15" s="66"/>
      <c r="JMF15" s="66"/>
      <c r="JMG15" s="66"/>
      <c r="JMH15" s="66"/>
      <c r="JMI15" s="66"/>
      <c r="JMJ15" s="66"/>
      <c r="JMK15" s="66"/>
      <c r="JML15" s="66"/>
      <c r="JMM15" s="66"/>
      <c r="JMN15" s="66"/>
      <c r="JMO15" s="66"/>
      <c r="JMP15" s="66"/>
      <c r="JMQ15" s="66"/>
      <c r="JMR15" s="66"/>
      <c r="JMS15" s="66"/>
      <c r="JMT15" s="66"/>
      <c r="JMU15" s="66"/>
      <c r="JMV15" s="66"/>
      <c r="JMW15" s="66"/>
      <c r="JMX15" s="66"/>
      <c r="JMY15" s="66"/>
      <c r="JMZ15" s="66"/>
      <c r="JNA15" s="66"/>
      <c r="JNB15" s="66"/>
      <c r="JNC15" s="66"/>
      <c r="JND15" s="66"/>
      <c r="JNE15" s="66"/>
      <c r="JNF15" s="66"/>
      <c r="JNG15" s="66"/>
      <c r="JNH15" s="66"/>
      <c r="JNI15" s="66"/>
      <c r="JNJ15" s="66"/>
      <c r="JNK15" s="66"/>
      <c r="JNL15" s="66"/>
      <c r="JNM15" s="66"/>
      <c r="JNN15" s="66"/>
      <c r="JNO15" s="66"/>
      <c r="JNP15" s="66"/>
      <c r="JNQ15" s="66"/>
      <c r="JNR15" s="66"/>
      <c r="JNS15" s="66"/>
      <c r="JNT15" s="66"/>
      <c r="JNU15" s="66"/>
      <c r="JNV15" s="66"/>
      <c r="JNW15" s="66"/>
      <c r="JNX15" s="66"/>
      <c r="JNY15" s="66"/>
      <c r="JNZ15" s="66"/>
      <c r="JOA15" s="66"/>
      <c r="JOB15" s="66"/>
      <c r="JOC15" s="66"/>
      <c r="JOD15" s="66"/>
      <c r="JOE15" s="66"/>
      <c r="JOF15" s="66"/>
      <c r="JOG15" s="66"/>
      <c r="JOH15" s="66"/>
      <c r="JOI15" s="66"/>
      <c r="JOJ15" s="66"/>
      <c r="JOK15" s="66"/>
      <c r="JOL15" s="66"/>
      <c r="JOM15" s="66"/>
      <c r="JON15" s="66"/>
      <c r="JOO15" s="66"/>
      <c r="JOP15" s="66"/>
      <c r="JOQ15" s="66"/>
      <c r="JOR15" s="66"/>
      <c r="JOS15" s="66"/>
      <c r="JOT15" s="66"/>
      <c r="JOU15" s="66"/>
      <c r="JOV15" s="66"/>
      <c r="JOW15" s="66"/>
      <c r="JOX15" s="66"/>
      <c r="JOY15" s="66"/>
      <c r="JOZ15" s="66"/>
      <c r="JPA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B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P15" s="66"/>
      <c r="JQQ15" s="66"/>
      <c r="JQR15" s="66"/>
      <c r="JQS15" s="66"/>
      <c r="JQT15" s="66"/>
      <c r="JQU15" s="66"/>
      <c r="JQV15" s="66"/>
      <c r="JQW15" s="66"/>
      <c r="JQX15" s="66"/>
      <c r="JQY15" s="66"/>
      <c r="JQZ15" s="66"/>
      <c r="JRA15" s="66"/>
      <c r="JRB15" s="66"/>
      <c r="JRC15" s="66"/>
      <c r="JRD15" s="66"/>
      <c r="JRE15" s="66"/>
      <c r="JRF15" s="66"/>
      <c r="JRG15" s="66"/>
      <c r="JRH15" s="66"/>
      <c r="JRI15" s="66"/>
      <c r="JRJ15" s="66"/>
      <c r="JRK15" s="66"/>
      <c r="JRL15" s="66"/>
      <c r="JRM15" s="66"/>
      <c r="JRN15" s="66"/>
      <c r="JRO15" s="66"/>
      <c r="JRP15" s="66"/>
      <c r="JRQ15" s="66"/>
      <c r="JRR15" s="66"/>
      <c r="JRS15" s="66"/>
      <c r="JRT15" s="66"/>
      <c r="JRU15" s="66"/>
      <c r="JRV15" s="66"/>
      <c r="JRW15" s="66"/>
      <c r="JRX15" s="66"/>
      <c r="JRY15" s="66"/>
      <c r="JRZ15" s="66"/>
      <c r="JSA15" s="66"/>
      <c r="JSB15" s="66"/>
      <c r="JSC15" s="66"/>
      <c r="JSD15" s="66"/>
      <c r="JSE15" s="66"/>
      <c r="JSF15" s="66"/>
      <c r="JSG15" s="66"/>
      <c r="JSH15" s="66"/>
      <c r="JSI15" s="66"/>
      <c r="JSJ15" s="66"/>
      <c r="JSK15" s="66"/>
      <c r="JSL15" s="66"/>
      <c r="JSM15" s="66"/>
      <c r="JSN15" s="66"/>
      <c r="JSO15" s="66"/>
      <c r="JSP15" s="66"/>
      <c r="JSQ15" s="66"/>
      <c r="JSR15" s="66"/>
      <c r="JSS15" s="66"/>
      <c r="JST15" s="66"/>
      <c r="JSU15" s="66"/>
      <c r="JSV15" s="66"/>
      <c r="JSW15" s="66"/>
      <c r="JSX15" s="66"/>
      <c r="JSY15" s="66"/>
      <c r="JSZ15" s="66"/>
      <c r="JTA15" s="66"/>
      <c r="JTB15" s="66"/>
      <c r="JTC15" s="66"/>
      <c r="JTD15" s="66"/>
      <c r="JTE15" s="66"/>
      <c r="JTF15" s="66"/>
      <c r="JTG15" s="66"/>
      <c r="JTH15" s="66"/>
      <c r="JTI15" s="66"/>
      <c r="JTJ15" s="66"/>
      <c r="JTK15" s="66"/>
      <c r="JTL15" s="66"/>
      <c r="JTM15" s="66"/>
      <c r="JTN15" s="66"/>
      <c r="JTO15" s="66"/>
      <c r="JTP15" s="66"/>
      <c r="JTQ15" s="66"/>
      <c r="JTR15" s="66"/>
      <c r="JTS15" s="66"/>
      <c r="JTT15" s="66"/>
      <c r="JTU15" s="66"/>
      <c r="JTV15" s="66"/>
      <c r="JTW15" s="66"/>
      <c r="JTX15" s="66"/>
      <c r="JTY15" s="66"/>
      <c r="JTZ15" s="66"/>
      <c r="JUA15" s="66"/>
      <c r="JUB15" s="66"/>
      <c r="JUC15" s="66"/>
      <c r="JUD15" s="66"/>
      <c r="JUE15" s="66"/>
      <c r="JUF15" s="66"/>
      <c r="JUG15" s="66"/>
      <c r="JUH15" s="66"/>
      <c r="JUI15" s="66"/>
      <c r="JUJ15" s="66"/>
      <c r="JUK15" s="66"/>
      <c r="JUL15" s="66"/>
      <c r="JUM15" s="66"/>
      <c r="JUN15" s="66"/>
      <c r="JUO15" s="66"/>
      <c r="JUP15" s="66"/>
      <c r="JUQ15" s="66"/>
      <c r="JUR15" s="66"/>
      <c r="JUS15" s="66"/>
      <c r="JUT15" s="66"/>
      <c r="JUU15" s="66"/>
      <c r="JUV15" s="66"/>
      <c r="JUW15" s="66"/>
      <c r="JUX15" s="66"/>
      <c r="JUY15" s="66"/>
      <c r="JUZ15" s="66"/>
      <c r="JVA15" s="66"/>
      <c r="JVB15" s="66"/>
      <c r="JVC15" s="66"/>
      <c r="JVD15" s="66"/>
      <c r="JVE15" s="66"/>
      <c r="JVF15" s="66"/>
      <c r="JVG15" s="66"/>
      <c r="JVH15" s="66"/>
      <c r="JVI15" s="66"/>
      <c r="JVJ15" s="66"/>
      <c r="JVK15" s="66"/>
      <c r="JVL15" s="66"/>
      <c r="JVM15" s="66"/>
      <c r="JVN15" s="66"/>
      <c r="JVO15" s="66"/>
      <c r="JVP15" s="66"/>
      <c r="JVQ15" s="66"/>
      <c r="JVR15" s="66"/>
      <c r="JVS15" s="66"/>
      <c r="JVT15" s="66"/>
      <c r="JVU15" s="66"/>
      <c r="JVV15" s="66"/>
      <c r="JVW15" s="66"/>
      <c r="JVX15" s="66"/>
      <c r="JVY15" s="66"/>
      <c r="JVZ15" s="66"/>
      <c r="JWA15" s="66"/>
      <c r="JWB15" s="66"/>
      <c r="JWC15" s="66"/>
      <c r="JWD15" s="66"/>
      <c r="JWE15" s="66"/>
      <c r="JWF15" s="66"/>
      <c r="JWG15" s="66"/>
      <c r="JWH15" s="66"/>
      <c r="JWI15" s="66"/>
      <c r="JWJ15" s="66"/>
      <c r="JWK15" s="66"/>
      <c r="JWL15" s="66"/>
      <c r="JWM15" s="66"/>
      <c r="JWN15" s="66"/>
      <c r="JWO15" s="66"/>
      <c r="JWP15" s="66"/>
      <c r="JWQ15" s="66"/>
      <c r="JWR15" s="66"/>
      <c r="JWS15" s="66"/>
      <c r="JWT15" s="66"/>
      <c r="JWU15" s="66"/>
      <c r="JWV15" s="66"/>
      <c r="JWW15" s="66"/>
      <c r="JWX15" s="66"/>
      <c r="JWY15" s="66"/>
      <c r="JWZ15" s="66"/>
      <c r="JXA15" s="66"/>
      <c r="JXB15" s="66"/>
      <c r="JXC15" s="66"/>
      <c r="JXD15" s="66"/>
      <c r="JXE15" s="66"/>
      <c r="JXF15" s="66"/>
      <c r="JXG15" s="66"/>
      <c r="JXH15" s="66"/>
      <c r="JXI15" s="66"/>
      <c r="JXJ15" s="66"/>
      <c r="JXK15" s="66"/>
      <c r="JXL15" s="66"/>
      <c r="JXM15" s="66"/>
      <c r="JXN15" s="66"/>
      <c r="JXO15" s="66"/>
      <c r="JXP15" s="66"/>
      <c r="JXQ15" s="66"/>
      <c r="JXR15" s="66"/>
      <c r="JXS15" s="66"/>
      <c r="JXT15" s="66"/>
      <c r="JXU15" s="66"/>
      <c r="JXV15" s="66"/>
      <c r="JXW15" s="66"/>
      <c r="JXX15" s="66"/>
      <c r="JXY15" s="66"/>
      <c r="JXZ15" s="66"/>
      <c r="JYA15" s="66"/>
      <c r="JYB15" s="66"/>
      <c r="JYC15" s="66"/>
      <c r="JYD15" s="66"/>
      <c r="JYE15" s="66"/>
      <c r="JYF15" s="66"/>
      <c r="JYG15" s="66"/>
      <c r="JYH15" s="66"/>
      <c r="JYI15" s="66"/>
      <c r="JYJ15" s="66"/>
      <c r="JYK15" s="66"/>
      <c r="JYL15" s="66"/>
      <c r="JYM15" s="66"/>
      <c r="JYN15" s="66"/>
      <c r="JYO15" s="66"/>
      <c r="JYP15" s="66"/>
      <c r="JYQ15" s="66"/>
      <c r="JYR15" s="66"/>
      <c r="JYS15" s="66"/>
      <c r="JYT15" s="66"/>
      <c r="JYU15" s="66"/>
      <c r="JYV15" s="66"/>
      <c r="JYW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X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L15" s="66"/>
      <c r="KAM15" s="66"/>
      <c r="KAN15" s="66"/>
      <c r="KAO15" s="66"/>
      <c r="KAP15" s="66"/>
      <c r="KAQ15" s="66"/>
      <c r="KAR15" s="66"/>
      <c r="KAS15" s="66"/>
      <c r="KAT15" s="66"/>
      <c r="KAU15" s="66"/>
      <c r="KAV15" s="66"/>
      <c r="KAW15" s="66"/>
      <c r="KAX15" s="66"/>
      <c r="KAY15" s="66"/>
      <c r="KAZ15" s="66"/>
      <c r="KBA15" s="66"/>
      <c r="KBB15" s="66"/>
      <c r="KBC15" s="66"/>
      <c r="KBD15" s="66"/>
      <c r="KBE15" s="66"/>
      <c r="KBF15" s="66"/>
      <c r="KBG15" s="66"/>
      <c r="KBH15" s="66"/>
      <c r="KBI15" s="66"/>
      <c r="KBJ15" s="66"/>
      <c r="KBK15" s="66"/>
      <c r="KBL15" s="66"/>
      <c r="KBM15" s="66"/>
      <c r="KBN15" s="66"/>
      <c r="KBO15" s="66"/>
      <c r="KBP15" s="66"/>
      <c r="KBQ15" s="66"/>
      <c r="KBR15" s="66"/>
      <c r="KBS15" s="66"/>
      <c r="KBT15" s="66"/>
      <c r="KBU15" s="66"/>
      <c r="KBV15" s="66"/>
      <c r="KBW15" s="66"/>
      <c r="KBX15" s="66"/>
      <c r="KBY15" s="66"/>
      <c r="KBZ15" s="66"/>
      <c r="KCA15" s="66"/>
      <c r="KCB15" s="66"/>
      <c r="KCC15" s="66"/>
      <c r="KCD15" s="66"/>
      <c r="KCE15" s="66"/>
      <c r="KCF15" s="66"/>
      <c r="KCG15" s="66"/>
      <c r="KCH15" s="66"/>
      <c r="KCI15" s="66"/>
      <c r="KCJ15" s="66"/>
      <c r="KCK15" s="66"/>
      <c r="KCL15" s="66"/>
      <c r="KCM15" s="66"/>
      <c r="KCN15" s="66"/>
      <c r="KCO15" s="66"/>
      <c r="KCP15" s="66"/>
      <c r="KCQ15" s="66"/>
      <c r="KCR15" s="66"/>
      <c r="KCS15" s="66"/>
      <c r="KCT15" s="66"/>
      <c r="KCU15" s="66"/>
      <c r="KCV15" s="66"/>
      <c r="KCW15" s="66"/>
      <c r="KCX15" s="66"/>
      <c r="KCY15" s="66"/>
      <c r="KCZ15" s="66"/>
      <c r="KDA15" s="66"/>
      <c r="KDB15" s="66"/>
      <c r="KDC15" s="66"/>
      <c r="KDD15" s="66"/>
      <c r="KDE15" s="66"/>
      <c r="KDF15" s="66"/>
      <c r="KDG15" s="66"/>
      <c r="KDH15" s="66"/>
      <c r="KDI15" s="66"/>
      <c r="KDJ15" s="66"/>
      <c r="KDK15" s="66"/>
      <c r="KDL15" s="66"/>
      <c r="KDM15" s="66"/>
      <c r="KDN15" s="66"/>
      <c r="KDO15" s="66"/>
      <c r="KDP15" s="66"/>
      <c r="KDQ15" s="66"/>
      <c r="KDR15" s="66"/>
      <c r="KDS15" s="66"/>
      <c r="KDT15" s="66"/>
      <c r="KDU15" s="66"/>
      <c r="KDV15" s="66"/>
      <c r="KDW15" s="66"/>
      <c r="KDX15" s="66"/>
      <c r="KDY15" s="66"/>
      <c r="KDZ15" s="66"/>
      <c r="KEA15" s="66"/>
      <c r="KEB15" s="66"/>
      <c r="KEC15" s="66"/>
      <c r="KED15" s="66"/>
      <c r="KEE15" s="66"/>
      <c r="KEF15" s="66"/>
      <c r="KEG15" s="66"/>
      <c r="KEH15" s="66"/>
      <c r="KEI15" s="66"/>
      <c r="KEJ15" s="66"/>
      <c r="KEK15" s="66"/>
      <c r="KEL15" s="66"/>
      <c r="KEM15" s="66"/>
      <c r="KEN15" s="66"/>
      <c r="KEO15" s="66"/>
      <c r="KEP15" s="66"/>
      <c r="KEQ15" s="66"/>
      <c r="KER15" s="66"/>
      <c r="KES15" s="66"/>
      <c r="KET15" s="66"/>
      <c r="KEU15" s="66"/>
      <c r="KEV15" s="66"/>
      <c r="KEW15" s="66"/>
      <c r="KEX15" s="66"/>
      <c r="KEY15" s="66"/>
      <c r="KEZ15" s="66"/>
      <c r="KFA15" s="66"/>
      <c r="KFB15" s="66"/>
      <c r="KFC15" s="66"/>
      <c r="KFD15" s="66"/>
      <c r="KFE15" s="66"/>
      <c r="KFF15" s="66"/>
      <c r="KFG15" s="66"/>
      <c r="KFH15" s="66"/>
      <c r="KFI15" s="66"/>
      <c r="KFJ15" s="66"/>
      <c r="KFK15" s="66"/>
      <c r="KFL15" s="66"/>
      <c r="KFM15" s="66"/>
      <c r="KFN15" s="66"/>
      <c r="KFO15" s="66"/>
      <c r="KFP15" s="66"/>
      <c r="KFQ15" s="66"/>
      <c r="KFR15" s="66"/>
      <c r="KFS15" s="66"/>
      <c r="KFT15" s="66"/>
      <c r="KFU15" s="66"/>
      <c r="KFV15" s="66"/>
      <c r="KFW15" s="66"/>
      <c r="KFX15" s="66"/>
      <c r="KFY15" s="66"/>
      <c r="KFZ15" s="66"/>
      <c r="KGA15" s="66"/>
      <c r="KGB15" s="66"/>
      <c r="KGC15" s="66"/>
      <c r="KGD15" s="66"/>
      <c r="KGE15" s="66"/>
      <c r="KGF15" s="66"/>
      <c r="KGG15" s="66"/>
      <c r="KGH15" s="66"/>
      <c r="KGI15" s="66"/>
      <c r="KGJ15" s="66"/>
      <c r="KGK15" s="66"/>
      <c r="KGL15" s="66"/>
      <c r="KGM15" s="66"/>
      <c r="KGN15" s="66"/>
      <c r="KGO15" s="66"/>
      <c r="KGP15" s="66"/>
      <c r="KGQ15" s="66"/>
      <c r="KGR15" s="66"/>
      <c r="KGS15" s="66"/>
      <c r="KGT15" s="66"/>
      <c r="KGU15" s="66"/>
      <c r="KGV15" s="66"/>
      <c r="KGW15" s="66"/>
      <c r="KGX15" s="66"/>
      <c r="KGY15" s="66"/>
      <c r="KGZ15" s="66"/>
      <c r="KHA15" s="66"/>
      <c r="KHB15" s="66"/>
      <c r="KHC15" s="66"/>
      <c r="KHD15" s="66"/>
      <c r="KHE15" s="66"/>
      <c r="KHF15" s="66"/>
      <c r="KHG15" s="66"/>
      <c r="KHH15" s="66"/>
      <c r="KHI15" s="66"/>
      <c r="KHJ15" s="66"/>
      <c r="KHK15" s="66"/>
      <c r="KHL15" s="66"/>
      <c r="KHM15" s="66"/>
      <c r="KHN15" s="66"/>
      <c r="KHO15" s="66"/>
      <c r="KHP15" s="66"/>
      <c r="KHQ15" s="66"/>
      <c r="KHR15" s="66"/>
      <c r="KHS15" s="66"/>
      <c r="KHT15" s="66"/>
      <c r="KHU15" s="66"/>
      <c r="KHV15" s="66"/>
      <c r="KHW15" s="66"/>
      <c r="KHX15" s="66"/>
      <c r="KHY15" s="66"/>
      <c r="KHZ15" s="66"/>
      <c r="KIA15" s="66"/>
      <c r="KIB15" s="66"/>
      <c r="KIC15" s="66"/>
      <c r="KID15" s="66"/>
      <c r="KIE15" s="66"/>
      <c r="KIF15" s="66"/>
      <c r="KIG15" s="66"/>
      <c r="KIH15" s="66"/>
      <c r="KII15" s="66"/>
      <c r="KIJ15" s="66"/>
      <c r="KIK15" s="66"/>
      <c r="KIL15" s="66"/>
      <c r="KIM15" s="66"/>
      <c r="KIN15" s="66"/>
      <c r="KIO15" s="66"/>
      <c r="KIP15" s="66"/>
      <c r="KIQ15" s="66"/>
      <c r="KIR15" s="66"/>
      <c r="KIS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T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H15" s="66"/>
      <c r="KKI15" s="66"/>
      <c r="KKJ15" s="66"/>
      <c r="KKK15" s="66"/>
      <c r="KKL15" s="66"/>
      <c r="KKM15" s="66"/>
      <c r="KKN15" s="66"/>
      <c r="KKO15" s="66"/>
      <c r="KKP15" s="66"/>
      <c r="KKQ15" s="66"/>
      <c r="KKR15" s="66"/>
      <c r="KKS15" s="66"/>
      <c r="KKT15" s="66"/>
      <c r="KKU15" s="66"/>
      <c r="KKV15" s="66"/>
      <c r="KKW15" s="66"/>
      <c r="KKX15" s="66"/>
      <c r="KKY15" s="66"/>
      <c r="KKZ15" s="66"/>
      <c r="KLA15" s="66"/>
      <c r="KLB15" s="66"/>
      <c r="KLC15" s="66"/>
      <c r="KLD15" s="66"/>
      <c r="KLE15" s="66"/>
      <c r="KLF15" s="66"/>
      <c r="KLG15" s="66"/>
      <c r="KLH15" s="66"/>
      <c r="KLI15" s="66"/>
      <c r="KLJ15" s="66"/>
      <c r="KLK15" s="66"/>
      <c r="KLL15" s="66"/>
      <c r="KLM15" s="66"/>
      <c r="KLN15" s="66"/>
      <c r="KLO15" s="66"/>
      <c r="KLP15" s="66"/>
      <c r="KLQ15" s="66"/>
      <c r="KLR15" s="66"/>
      <c r="KLS15" s="66"/>
      <c r="KLT15" s="66"/>
      <c r="KLU15" s="66"/>
      <c r="KLV15" s="66"/>
      <c r="KLW15" s="66"/>
      <c r="KLX15" s="66"/>
      <c r="KLY15" s="66"/>
      <c r="KLZ15" s="66"/>
      <c r="KMA15" s="66"/>
      <c r="KMB15" s="66"/>
      <c r="KMC15" s="66"/>
      <c r="KMD15" s="66"/>
      <c r="KME15" s="66"/>
      <c r="KMF15" s="66"/>
      <c r="KMG15" s="66"/>
      <c r="KMH15" s="66"/>
      <c r="KMI15" s="66"/>
      <c r="KMJ15" s="66"/>
      <c r="KMK15" s="66"/>
      <c r="KML15" s="66"/>
      <c r="KMM15" s="66"/>
      <c r="KMN15" s="66"/>
      <c r="KMO15" s="66"/>
      <c r="KMP15" s="66"/>
      <c r="KMQ15" s="66"/>
      <c r="KMR15" s="66"/>
      <c r="KMS15" s="66"/>
      <c r="KMT15" s="66"/>
      <c r="KMU15" s="66"/>
      <c r="KMV15" s="66"/>
      <c r="KMW15" s="66"/>
      <c r="KMX15" s="66"/>
      <c r="KMY15" s="66"/>
      <c r="KMZ15" s="66"/>
      <c r="KNA15" s="66"/>
      <c r="KNB15" s="66"/>
      <c r="KNC15" s="66"/>
      <c r="KND15" s="66"/>
      <c r="KNE15" s="66"/>
      <c r="KNF15" s="66"/>
      <c r="KNG15" s="66"/>
      <c r="KNH15" s="66"/>
      <c r="KNI15" s="66"/>
      <c r="KNJ15" s="66"/>
      <c r="KNK15" s="66"/>
      <c r="KNL15" s="66"/>
      <c r="KNM15" s="66"/>
      <c r="KNN15" s="66"/>
      <c r="KNO15" s="66"/>
      <c r="KNP15" s="66"/>
      <c r="KNQ15" s="66"/>
      <c r="KNR15" s="66"/>
      <c r="KNS15" s="66"/>
      <c r="KNT15" s="66"/>
      <c r="KNU15" s="66"/>
      <c r="KNV15" s="66"/>
      <c r="KNW15" s="66"/>
      <c r="KNX15" s="66"/>
      <c r="KNY15" s="66"/>
      <c r="KNZ15" s="66"/>
      <c r="KOA15" s="66"/>
      <c r="KOB15" s="66"/>
      <c r="KOC15" s="66"/>
      <c r="KOD15" s="66"/>
      <c r="KOE15" s="66"/>
      <c r="KOF15" s="66"/>
      <c r="KOG15" s="66"/>
      <c r="KOH15" s="66"/>
      <c r="KOI15" s="66"/>
      <c r="KOJ15" s="66"/>
      <c r="KOK15" s="66"/>
      <c r="KOL15" s="66"/>
      <c r="KOM15" s="66"/>
      <c r="KON15" s="66"/>
      <c r="KOO15" s="66"/>
      <c r="KOP15" s="66"/>
      <c r="KOQ15" s="66"/>
      <c r="KOR15" s="66"/>
      <c r="KOS15" s="66"/>
      <c r="KOT15" s="66"/>
      <c r="KOU15" s="66"/>
      <c r="KOV15" s="66"/>
      <c r="KOW15" s="66"/>
      <c r="KOX15" s="66"/>
      <c r="KOY15" s="66"/>
      <c r="KOZ15" s="66"/>
      <c r="KPA15" s="66"/>
      <c r="KPB15" s="66"/>
      <c r="KPC15" s="66"/>
      <c r="KPD15" s="66"/>
      <c r="KPE15" s="66"/>
      <c r="KPF15" s="66"/>
      <c r="KPG15" s="66"/>
      <c r="KPH15" s="66"/>
      <c r="KPI15" s="66"/>
      <c r="KPJ15" s="66"/>
      <c r="KPK15" s="66"/>
      <c r="KPL15" s="66"/>
      <c r="KPM15" s="66"/>
      <c r="KPN15" s="66"/>
      <c r="KPO15" s="66"/>
      <c r="KPP15" s="66"/>
      <c r="KPQ15" s="66"/>
      <c r="KPR15" s="66"/>
      <c r="KPS15" s="66"/>
      <c r="KPT15" s="66"/>
      <c r="KPU15" s="66"/>
      <c r="KPV15" s="66"/>
      <c r="KPW15" s="66"/>
      <c r="KPX15" s="66"/>
      <c r="KPY15" s="66"/>
      <c r="KPZ15" s="66"/>
      <c r="KQA15" s="66"/>
      <c r="KQB15" s="66"/>
      <c r="KQC15" s="66"/>
      <c r="KQD15" s="66"/>
      <c r="KQE15" s="66"/>
      <c r="KQF15" s="66"/>
      <c r="KQG15" s="66"/>
      <c r="KQH15" s="66"/>
      <c r="KQI15" s="66"/>
      <c r="KQJ15" s="66"/>
      <c r="KQK15" s="66"/>
      <c r="KQL15" s="66"/>
      <c r="KQM15" s="66"/>
      <c r="KQN15" s="66"/>
      <c r="KQO15" s="66"/>
      <c r="KQP15" s="66"/>
      <c r="KQQ15" s="66"/>
      <c r="KQR15" s="66"/>
      <c r="KQS15" s="66"/>
      <c r="KQT15" s="66"/>
      <c r="KQU15" s="66"/>
      <c r="KQV15" s="66"/>
      <c r="KQW15" s="66"/>
      <c r="KQX15" s="66"/>
      <c r="KQY15" s="66"/>
      <c r="KQZ15" s="66"/>
      <c r="KRA15" s="66"/>
      <c r="KRB15" s="66"/>
      <c r="KRC15" s="66"/>
      <c r="KRD15" s="66"/>
      <c r="KRE15" s="66"/>
      <c r="KRF15" s="66"/>
      <c r="KRG15" s="66"/>
      <c r="KRH15" s="66"/>
      <c r="KRI15" s="66"/>
      <c r="KRJ15" s="66"/>
      <c r="KRK15" s="66"/>
      <c r="KRL15" s="66"/>
      <c r="KRM15" s="66"/>
      <c r="KRN15" s="66"/>
      <c r="KRO15" s="66"/>
      <c r="KRP15" s="66"/>
      <c r="KRQ15" s="66"/>
      <c r="KRR15" s="66"/>
      <c r="KRS15" s="66"/>
      <c r="KRT15" s="66"/>
      <c r="KRU15" s="66"/>
      <c r="KRV15" s="66"/>
      <c r="KRW15" s="66"/>
      <c r="KRX15" s="66"/>
      <c r="KRY15" s="66"/>
      <c r="KRZ15" s="66"/>
      <c r="KSA15" s="66"/>
      <c r="KSB15" s="66"/>
      <c r="KSC15" s="66"/>
      <c r="KSD15" s="66"/>
      <c r="KSE15" s="66"/>
      <c r="KSF15" s="66"/>
      <c r="KSG15" s="66"/>
      <c r="KSH15" s="66"/>
      <c r="KSI15" s="66"/>
      <c r="KSJ15" s="66"/>
      <c r="KSK15" s="66"/>
      <c r="KSL15" s="66"/>
      <c r="KSM15" s="66"/>
      <c r="KSN15" s="66"/>
      <c r="KSO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P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D15" s="66"/>
      <c r="KUE15" s="66"/>
      <c r="KUF15" s="66"/>
      <c r="KUG15" s="66"/>
      <c r="KUH15" s="66"/>
      <c r="KUI15" s="66"/>
      <c r="KUJ15" s="66"/>
      <c r="KUK15" s="66"/>
      <c r="KUL15" s="66"/>
      <c r="KUM15" s="66"/>
      <c r="KUN15" s="66"/>
      <c r="KUO15" s="66"/>
      <c r="KUP15" s="66"/>
      <c r="KUQ15" s="66"/>
      <c r="KUR15" s="66"/>
      <c r="KUS15" s="66"/>
      <c r="KUT15" s="66"/>
      <c r="KUU15" s="66"/>
      <c r="KUV15" s="66"/>
      <c r="KUW15" s="66"/>
      <c r="KUX15" s="66"/>
      <c r="KUY15" s="66"/>
      <c r="KUZ15" s="66"/>
      <c r="KVA15" s="66"/>
      <c r="KVB15" s="66"/>
      <c r="KVC15" s="66"/>
      <c r="KVD15" s="66"/>
      <c r="KVE15" s="66"/>
      <c r="KVF15" s="66"/>
      <c r="KVG15" s="66"/>
      <c r="KVH15" s="66"/>
      <c r="KVI15" s="66"/>
      <c r="KVJ15" s="66"/>
      <c r="KVK15" s="66"/>
      <c r="KVL15" s="66"/>
      <c r="KVM15" s="66"/>
      <c r="KVN15" s="66"/>
      <c r="KVO15" s="66"/>
      <c r="KVP15" s="66"/>
      <c r="KVQ15" s="66"/>
      <c r="KVR15" s="66"/>
      <c r="KVS15" s="66"/>
      <c r="KVT15" s="66"/>
      <c r="KVU15" s="66"/>
      <c r="KVV15" s="66"/>
      <c r="KVW15" s="66"/>
      <c r="KVX15" s="66"/>
      <c r="KVY15" s="66"/>
      <c r="KVZ15" s="66"/>
      <c r="KWA15" s="66"/>
      <c r="KWB15" s="66"/>
      <c r="KWC15" s="66"/>
      <c r="KWD15" s="66"/>
      <c r="KWE15" s="66"/>
      <c r="KWF15" s="66"/>
      <c r="KWG15" s="66"/>
      <c r="KWH15" s="66"/>
      <c r="KWI15" s="66"/>
      <c r="KWJ15" s="66"/>
      <c r="KWK15" s="66"/>
      <c r="KWL15" s="66"/>
      <c r="KWM15" s="66"/>
      <c r="KWN15" s="66"/>
      <c r="KWO15" s="66"/>
      <c r="KWP15" s="66"/>
      <c r="KWQ15" s="66"/>
      <c r="KWR15" s="66"/>
      <c r="KWS15" s="66"/>
      <c r="KWT15" s="66"/>
      <c r="KWU15" s="66"/>
      <c r="KWV15" s="66"/>
      <c r="KWW15" s="66"/>
      <c r="KWX15" s="66"/>
      <c r="KWY15" s="66"/>
      <c r="KWZ15" s="66"/>
      <c r="KXA15" s="66"/>
      <c r="KXB15" s="66"/>
      <c r="KXC15" s="66"/>
      <c r="KXD15" s="66"/>
      <c r="KXE15" s="66"/>
      <c r="KXF15" s="66"/>
      <c r="KXG15" s="66"/>
      <c r="KXH15" s="66"/>
      <c r="KXI15" s="66"/>
      <c r="KXJ15" s="66"/>
      <c r="KXK15" s="66"/>
      <c r="KXL15" s="66"/>
      <c r="KXM15" s="66"/>
      <c r="KXN15" s="66"/>
      <c r="KXO15" s="66"/>
      <c r="KXP15" s="66"/>
      <c r="KXQ15" s="66"/>
      <c r="KXR15" s="66"/>
      <c r="KXS15" s="66"/>
      <c r="KXT15" s="66"/>
      <c r="KXU15" s="66"/>
      <c r="KXV15" s="66"/>
      <c r="KXW15" s="66"/>
      <c r="KXX15" s="66"/>
      <c r="KXY15" s="66"/>
      <c r="KXZ15" s="66"/>
      <c r="KYA15" s="66"/>
      <c r="KYB15" s="66"/>
      <c r="KYC15" s="66"/>
      <c r="KYD15" s="66"/>
      <c r="KYE15" s="66"/>
      <c r="KYF15" s="66"/>
      <c r="KYG15" s="66"/>
      <c r="KYH15" s="66"/>
      <c r="KYI15" s="66"/>
      <c r="KYJ15" s="66"/>
      <c r="KYK15" s="66"/>
      <c r="KYL15" s="66"/>
      <c r="KYM15" s="66"/>
      <c r="KYN15" s="66"/>
      <c r="KYO15" s="66"/>
      <c r="KYP15" s="66"/>
      <c r="KYQ15" s="66"/>
      <c r="KYR15" s="66"/>
      <c r="KYS15" s="66"/>
      <c r="KYT15" s="66"/>
      <c r="KYU15" s="66"/>
      <c r="KYV15" s="66"/>
      <c r="KYW15" s="66"/>
      <c r="KYX15" s="66"/>
      <c r="KYY15" s="66"/>
      <c r="KYZ15" s="66"/>
      <c r="KZA15" s="66"/>
      <c r="KZB15" s="66"/>
      <c r="KZC15" s="66"/>
      <c r="KZD15" s="66"/>
      <c r="KZE15" s="66"/>
      <c r="KZF15" s="66"/>
      <c r="KZG15" s="66"/>
      <c r="KZH15" s="66"/>
      <c r="KZI15" s="66"/>
      <c r="KZJ15" s="66"/>
      <c r="KZK15" s="66"/>
      <c r="KZL15" s="66"/>
      <c r="KZM15" s="66"/>
      <c r="KZN15" s="66"/>
      <c r="KZO15" s="66"/>
      <c r="KZP15" s="66"/>
      <c r="KZQ15" s="66"/>
      <c r="KZR15" s="66"/>
      <c r="KZS15" s="66"/>
      <c r="KZT15" s="66"/>
      <c r="KZU15" s="66"/>
      <c r="KZV15" s="66"/>
      <c r="KZW15" s="66"/>
      <c r="KZX15" s="66"/>
      <c r="KZY15" s="66"/>
      <c r="KZZ15" s="66"/>
      <c r="LAA15" s="66"/>
      <c r="LAB15" s="66"/>
      <c r="LAC15" s="66"/>
      <c r="LAD15" s="66"/>
      <c r="LAE15" s="66"/>
      <c r="LAF15" s="66"/>
      <c r="LAG15" s="66"/>
      <c r="LAH15" s="66"/>
      <c r="LAI15" s="66"/>
      <c r="LAJ15" s="66"/>
      <c r="LAK15" s="66"/>
      <c r="LAL15" s="66"/>
      <c r="LAM15" s="66"/>
      <c r="LAN15" s="66"/>
      <c r="LAO15" s="66"/>
      <c r="LAP15" s="66"/>
      <c r="LAQ15" s="66"/>
      <c r="LAR15" s="66"/>
      <c r="LAS15" s="66"/>
      <c r="LAT15" s="66"/>
      <c r="LAU15" s="66"/>
      <c r="LAV15" s="66"/>
      <c r="LAW15" s="66"/>
      <c r="LAX15" s="66"/>
      <c r="LAY15" s="66"/>
      <c r="LAZ15" s="66"/>
      <c r="LBA15" s="66"/>
      <c r="LBB15" s="66"/>
      <c r="LBC15" s="66"/>
      <c r="LBD15" s="66"/>
      <c r="LBE15" s="66"/>
      <c r="LBF15" s="66"/>
      <c r="LBG15" s="66"/>
      <c r="LBH15" s="66"/>
      <c r="LBI15" s="66"/>
      <c r="LBJ15" s="66"/>
      <c r="LBK15" s="66"/>
      <c r="LBL15" s="66"/>
      <c r="LBM15" s="66"/>
      <c r="LBN15" s="66"/>
      <c r="LBO15" s="66"/>
      <c r="LBP15" s="66"/>
      <c r="LBQ15" s="66"/>
      <c r="LBR15" s="66"/>
      <c r="LBS15" s="66"/>
      <c r="LBT15" s="66"/>
      <c r="LBU15" s="66"/>
      <c r="LBV15" s="66"/>
      <c r="LBW15" s="66"/>
      <c r="LBX15" s="66"/>
      <c r="LBY15" s="66"/>
      <c r="LBZ15" s="66"/>
      <c r="LCA15" s="66"/>
      <c r="LCB15" s="66"/>
      <c r="LCC15" s="66"/>
      <c r="LCD15" s="66"/>
      <c r="LCE15" s="66"/>
      <c r="LCF15" s="66"/>
      <c r="LCG15" s="66"/>
      <c r="LCH15" s="66"/>
      <c r="LCI15" s="66"/>
      <c r="LCJ15" s="66"/>
      <c r="LCK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L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DZ15" s="66"/>
      <c r="LEA15" s="66"/>
      <c r="LEB15" s="66"/>
      <c r="LEC15" s="66"/>
      <c r="LED15" s="66"/>
      <c r="LEE15" s="66"/>
      <c r="LEF15" s="66"/>
      <c r="LEG15" s="66"/>
      <c r="LEH15" s="66"/>
      <c r="LEI15" s="66"/>
      <c r="LEJ15" s="66"/>
      <c r="LEK15" s="66"/>
      <c r="LEL15" s="66"/>
      <c r="LEM15" s="66"/>
      <c r="LEN15" s="66"/>
      <c r="LEO15" s="66"/>
      <c r="LEP15" s="66"/>
      <c r="LEQ15" s="66"/>
      <c r="LER15" s="66"/>
      <c r="LES15" s="66"/>
      <c r="LET15" s="66"/>
      <c r="LEU15" s="66"/>
      <c r="LEV15" s="66"/>
      <c r="LEW15" s="66"/>
      <c r="LEX15" s="66"/>
      <c r="LEY15" s="66"/>
      <c r="LEZ15" s="66"/>
      <c r="LFA15" s="66"/>
      <c r="LFB15" s="66"/>
      <c r="LFC15" s="66"/>
      <c r="LFD15" s="66"/>
      <c r="LFE15" s="66"/>
      <c r="LFF15" s="66"/>
      <c r="LFG15" s="66"/>
      <c r="LFH15" s="66"/>
      <c r="LFI15" s="66"/>
      <c r="LFJ15" s="66"/>
      <c r="LFK15" s="66"/>
      <c r="LFL15" s="66"/>
      <c r="LFM15" s="66"/>
      <c r="LFN15" s="66"/>
      <c r="LFO15" s="66"/>
      <c r="LFP15" s="66"/>
      <c r="LFQ15" s="66"/>
      <c r="LFR15" s="66"/>
      <c r="LFS15" s="66"/>
      <c r="LFT15" s="66"/>
      <c r="LFU15" s="66"/>
      <c r="LFV15" s="66"/>
      <c r="LFW15" s="66"/>
      <c r="LFX15" s="66"/>
      <c r="LFY15" s="66"/>
      <c r="LFZ15" s="66"/>
      <c r="LGA15" s="66"/>
      <c r="LGB15" s="66"/>
      <c r="LGC15" s="66"/>
      <c r="LGD15" s="66"/>
      <c r="LGE15" s="66"/>
      <c r="LGF15" s="66"/>
      <c r="LGG15" s="66"/>
      <c r="LGH15" s="66"/>
      <c r="LGI15" s="66"/>
      <c r="LGJ15" s="66"/>
      <c r="LGK15" s="66"/>
      <c r="LGL15" s="66"/>
      <c r="LGM15" s="66"/>
      <c r="LGN15" s="66"/>
      <c r="LGO15" s="66"/>
      <c r="LGP15" s="66"/>
      <c r="LGQ15" s="66"/>
      <c r="LGR15" s="66"/>
      <c r="LGS15" s="66"/>
      <c r="LGT15" s="66"/>
      <c r="LGU15" s="66"/>
      <c r="LGV15" s="66"/>
      <c r="LGW15" s="66"/>
      <c r="LGX15" s="66"/>
      <c r="LGY15" s="66"/>
      <c r="LGZ15" s="66"/>
      <c r="LHA15" s="66"/>
      <c r="LHB15" s="66"/>
      <c r="LHC15" s="66"/>
      <c r="LHD15" s="66"/>
      <c r="LHE15" s="66"/>
      <c r="LHF15" s="66"/>
      <c r="LHG15" s="66"/>
      <c r="LHH15" s="66"/>
      <c r="LHI15" s="66"/>
      <c r="LHJ15" s="66"/>
      <c r="LHK15" s="66"/>
      <c r="LHL15" s="66"/>
      <c r="LHM15" s="66"/>
      <c r="LHN15" s="66"/>
      <c r="LHO15" s="66"/>
      <c r="LHP15" s="66"/>
      <c r="LHQ15" s="66"/>
      <c r="LHR15" s="66"/>
      <c r="LHS15" s="66"/>
      <c r="LHT15" s="66"/>
      <c r="LHU15" s="66"/>
      <c r="LHV15" s="66"/>
      <c r="LHW15" s="66"/>
      <c r="LHX15" s="66"/>
      <c r="LHY15" s="66"/>
      <c r="LHZ15" s="66"/>
      <c r="LIA15" s="66"/>
      <c r="LIB15" s="66"/>
      <c r="LIC15" s="66"/>
      <c r="LID15" s="66"/>
      <c r="LIE15" s="66"/>
      <c r="LIF15" s="66"/>
      <c r="LIG15" s="66"/>
      <c r="LIH15" s="66"/>
      <c r="LII15" s="66"/>
      <c r="LIJ15" s="66"/>
      <c r="LIK15" s="66"/>
      <c r="LIL15" s="66"/>
      <c r="LIM15" s="66"/>
      <c r="LIN15" s="66"/>
      <c r="LIO15" s="66"/>
      <c r="LIP15" s="66"/>
      <c r="LIQ15" s="66"/>
      <c r="LIR15" s="66"/>
      <c r="LIS15" s="66"/>
      <c r="LIT15" s="66"/>
      <c r="LIU15" s="66"/>
      <c r="LIV15" s="66"/>
      <c r="LIW15" s="66"/>
      <c r="LIX15" s="66"/>
      <c r="LIY15" s="66"/>
      <c r="LIZ15" s="66"/>
      <c r="LJA15" s="66"/>
      <c r="LJB15" s="66"/>
      <c r="LJC15" s="66"/>
      <c r="LJD15" s="66"/>
      <c r="LJE15" s="66"/>
      <c r="LJF15" s="66"/>
      <c r="LJG15" s="66"/>
      <c r="LJH15" s="66"/>
      <c r="LJI15" s="66"/>
      <c r="LJJ15" s="66"/>
      <c r="LJK15" s="66"/>
      <c r="LJL15" s="66"/>
      <c r="LJM15" s="66"/>
      <c r="LJN15" s="66"/>
      <c r="LJO15" s="66"/>
      <c r="LJP15" s="66"/>
      <c r="LJQ15" s="66"/>
      <c r="LJR15" s="66"/>
      <c r="LJS15" s="66"/>
      <c r="LJT15" s="66"/>
      <c r="LJU15" s="66"/>
      <c r="LJV15" s="66"/>
      <c r="LJW15" s="66"/>
      <c r="LJX15" s="66"/>
      <c r="LJY15" s="66"/>
      <c r="LJZ15" s="66"/>
      <c r="LKA15" s="66"/>
      <c r="LKB15" s="66"/>
      <c r="LKC15" s="66"/>
      <c r="LKD15" s="66"/>
      <c r="LKE15" s="66"/>
      <c r="LKF15" s="66"/>
      <c r="LKG15" s="66"/>
      <c r="LKH15" s="66"/>
      <c r="LKI15" s="66"/>
      <c r="LKJ15" s="66"/>
      <c r="LKK15" s="66"/>
      <c r="LKL15" s="66"/>
      <c r="LKM15" s="66"/>
      <c r="LKN15" s="66"/>
      <c r="LKO15" s="66"/>
      <c r="LKP15" s="66"/>
      <c r="LKQ15" s="66"/>
      <c r="LKR15" s="66"/>
      <c r="LKS15" s="66"/>
      <c r="LKT15" s="66"/>
      <c r="LKU15" s="66"/>
      <c r="LKV15" s="66"/>
      <c r="LKW15" s="66"/>
      <c r="LKX15" s="66"/>
      <c r="LKY15" s="66"/>
      <c r="LKZ15" s="66"/>
      <c r="LLA15" s="66"/>
      <c r="LLB15" s="66"/>
      <c r="LLC15" s="66"/>
      <c r="LLD15" s="66"/>
      <c r="LLE15" s="66"/>
      <c r="LLF15" s="66"/>
      <c r="LLG15" s="66"/>
      <c r="LLH15" s="66"/>
      <c r="LLI15" s="66"/>
      <c r="LLJ15" s="66"/>
      <c r="LLK15" s="66"/>
      <c r="LLL15" s="66"/>
      <c r="LLM15" s="66"/>
      <c r="LLN15" s="66"/>
      <c r="LLO15" s="66"/>
      <c r="LLP15" s="66"/>
      <c r="LLQ15" s="66"/>
      <c r="LLR15" s="66"/>
      <c r="LLS15" s="66"/>
      <c r="LLT15" s="66"/>
      <c r="LLU15" s="66"/>
      <c r="LLV15" s="66"/>
      <c r="LLW15" s="66"/>
      <c r="LLX15" s="66"/>
      <c r="LLY15" s="66"/>
      <c r="LLZ15" s="66"/>
      <c r="LMA15" s="66"/>
      <c r="LMB15" s="66"/>
      <c r="LMC15" s="66"/>
      <c r="LMD15" s="66"/>
      <c r="LME15" s="66"/>
      <c r="LMF15" s="66"/>
      <c r="LMG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H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V15" s="66"/>
      <c r="LNW15" s="66"/>
      <c r="LNX15" s="66"/>
      <c r="LNY15" s="66"/>
      <c r="LNZ15" s="66"/>
      <c r="LOA15" s="66"/>
      <c r="LOB15" s="66"/>
      <c r="LOC15" s="66"/>
      <c r="LOD15" s="66"/>
      <c r="LOE15" s="66"/>
      <c r="LOF15" s="66"/>
      <c r="LOG15" s="66"/>
      <c r="LOH15" s="66"/>
      <c r="LOI15" s="66"/>
      <c r="LOJ15" s="66"/>
      <c r="LOK15" s="66"/>
      <c r="LOL15" s="66"/>
      <c r="LOM15" s="66"/>
      <c r="LON15" s="66"/>
      <c r="LOO15" s="66"/>
      <c r="LOP15" s="66"/>
      <c r="LOQ15" s="66"/>
      <c r="LOR15" s="66"/>
      <c r="LOS15" s="66"/>
      <c r="LOT15" s="66"/>
      <c r="LOU15" s="66"/>
      <c r="LOV15" s="66"/>
      <c r="LOW15" s="66"/>
      <c r="LOX15" s="66"/>
      <c r="LOY15" s="66"/>
      <c r="LOZ15" s="66"/>
      <c r="LPA15" s="66"/>
      <c r="LPB15" s="66"/>
      <c r="LPC15" s="66"/>
      <c r="LPD15" s="66"/>
      <c r="LPE15" s="66"/>
      <c r="LPF15" s="66"/>
      <c r="LPG15" s="66"/>
      <c r="LPH15" s="66"/>
      <c r="LPI15" s="66"/>
      <c r="LPJ15" s="66"/>
      <c r="LPK15" s="66"/>
      <c r="LPL15" s="66"/>
      <c r="LPM15" s="66"/>
      <c r="LPN15" s="66"/>
      <c r="LPO15" s="66"/>
      <c r="LPP15" s="66"/>
      <c r="LPQ15" s="66"/>
      <c r="LPR15" s="66"/>
      <c r="LPS15" s="66"/>
      <c r="LPT15" s="66"/>
      <c r="LPU15" s="66"/>
      <c r="LPV15" s="66"/>
      <c r="LPW15" s="66"/>
      <c r="LPX15" s="66"/>
      <c r="LPY15" s="66"/>
      <c r="LPZ15" s="66"/>
      <c r="LQA15" s="66"/>
      <c r="LQB15" s="66"/>
      <c r="LQC15" s="66"/>
      <c r="LQD15" s="66"/>
      <c r="LQE15" s="66"/>
      <c r="LQF15" s="66"/>
      <c r="LQG15" s="66"/>
      <c r="LQH15" s="66"/>
      <c r="LQI15" s="66"/>
      <c r="LQJ15" s="66"/>
      <c r="LQK15" s="66"/>
      <c r="LQL15" s="66"/>
      <c r="LQM15" s="66"/>
      <c r="LQN15" s="66"/>
      <c r="LQO15" s="66"/>
      <c r="LQP15" s="66"/>
      <c r="LQQ15" s="66"/>
      <c r="LQR15" s="66"/>
      <c r="LQS15" s="66"/>
      <c r="LQT15" s="66"/>
      <c r="LQU15" s="66"/>
      <c r="LQV15" s="66"/>
      <c r="LQW15" s="66"/>
      <c r="LQX15" s="66"/>
      <c r="LQY15" s="66"/>
      <c r="LQZ15" s="66"/>
      <c r="LRA15" s="66"/>
      <c r="LRB15" s="66"/>
      <c r="LRC15" s="66"/>
      <c r="LRD15" s="66"/>
      <c r="LRE15" s="66"/>
      <c r="LRF15" s="66"/>
      <c r="LRG15" s="66"/>
      <c r="LRH15" s="66"/>
      <c r="LRI15" s="66"/>
      <c r="LRJ15" s="66"/>
      <c r="LRK15" s="66"/>
      <c r="LRL15" s="66"/>
      <c r="LRM15" s="66"/>
      <c r="LRN15" s="66"/>
      <c r="LRO15" s="66"/>
      <c r="LRP15" s="66"/>
      <c r="LRQ15" s="66"/>
      <c r="LRR15" s="66"/>
      <c r="LRS15" s="66"/>
      <c r="LRT15" s="66"/>
      <c r="LRU15" s="66"/>
      <c r="LRV15" s="66"/>
      <c r="LRW15" s="66"/>
      <c r="LRX15" s="66"/>
      <c r="LRY15" s="66"/>
      <c r="LRZ15" s="66"/>
      <c r="LSA15" s="66"/>
      <c r="LSB15" s="66"/>
      <c r="LSC15" s="66"/>
      <c r="LSD15" s="66"/>
      <c r="LSE15" s="66"/>
      <c r="LSF15" s="66"/>
      <c r="LSG15" s="66"/>
      <c r="LSH15" s="66"/>
      <c r="LSI15" s="66"/>
      <c r="LSJ15" s="66"/>
      <c r="LSK15" s="66"/>
      <c r="LSL15" s="66"/>
      <c r="LSM15" s="66"/>
      <c r="LSN15" s="66"/>
      <c r="LSO15" s="66"/>
      <c r="LSP15" s="66"/>
      <c r="LSQ15" s="66"/>
      <c r="LSR15" s="66"/>
      <c r="LSS15" s="66"/>
      <c r="LST15" s="66"/>
      <c r="LSU15" s="66"/>
      <c r="LSV15" s="66"/>
      <c r="LSW15" s="66"/>
      <c r="LSX15" s="66"/>
      <c r="LSY15" s="66"/>
      <c r="LSZ15" s="66"/>
      <c r="LTA15" s="66"/>
      <c r="LTB15" s="66"/>
      <c r="LTC15" s="66"/>
      <c r="LTD15" s="66"/>
      <c r="LTE15" s="66"/>
      <c r="LTF15" s="66"/>
      <c r="LTG15" s="66"/>
      <c r="LTH15" s="66"/>
      <c r="LTI15" s="66"/>
      <c r="LTJ15" s="66"/>
      <c r="LTK15" s="66"/>
      <c r="LTL15" s="66"/>
      <c r="LTM15" s="66"/>
      <c r="LTN15" s="66"/>
      <c r="LTO15" s="66"/>
      <c r="LTP15" s="66"/>
      <c r="LTQ15" s="66"/>
      <c r="LTR15" s="66"/>
      <c r="LTS15" s="66"/>
      <c r="LTT15" s="66"/>
      <c r="LTU15" s="66"/>
      <c r="LTV15" s="66"/>
      <c r="LTW15" s="66"/>
      <c r="LTX15" s="66"/>
      <c r="LTY15" s="66"/>
      <c r="LTZ15" s="66"/>
      <c r="LUA15" s="66"/>
      <c r="LUB15" s="66"/>
      <c r="LUC15" s="66"/>
      <c r="LUD15" s="66"/>
      <c r="LUE15" s="66"/>
      <c r="LUF15" s="66"/>
      <c r="LUG15" s="66"/>
      <c r="LUH15" s="66"/>
      <c r="LUI15" s="66"/>
      <c r="LUJ15" s="66"/>
      <c r="LUK15" s="66"/>
      <c r="LUL15" s="66"/>
      <c r="LUM15" s="66"/>
      <c r="LUN15" s="66"/>
      <c r="LUO15" s="66"/>
      <c r="LUP15" s="66"/>
      <c r="LUQ15" s="66"/>
      <c r="LUR15" s="66"/>
      <c r="LUS15" s="66"/>
      <c r="LUT15" s="66"/>
      <c r="LUU15" s="66"/>
      <c r="LUV15" s="66"/>
      <c r="LUW15" s="66"/>
      <c r="LUX15" s="66"/>
      <c r="LUY15" s="66"/>
      <c r="LUZ15" s="66"/>
      <c r="LVA15" s="66"/>
      <c r="LVB15" s="66"/>
      <c r="LVC15" s="66"/>
      <c r="LVD15" s="66"/>
      <c r="LVE15" s="66"/>
      <c r="LVF15" s="66"/>
      <c r="LVG15" s="66"/>
      <c r="LVH15" s="66"/>
      <c r="LVI15" s="66"/>
      <c r="LVJ15" s="66"/>
      <c r="LVK15" s="66"/>
      <c r="LVL15" s="66"/>
      <c r="LVM15" s="66"/>
      <c r="LVN15" s="66"/>
      <c r="LVO15" s="66"/>
      <c r="LVP15" s="66"/>
      <c r="LVQ15" s="66"/>
      <c r="LVR15" s="66"/>
      <c r="LVS15" s="66"/>
      <c r="LVT15" s="66"/>
      <c r="LVU15" s="66"/>
      <c r="LVV15" s="66"/>
      <c r="LVW15" s="66"/>
      <c r="LVX15" s="66"/>
      <c r="LVY15" s="66"/>
      <c r="LVZ15" s="66"/>
      <c r="LWA15" s="66"/>
      <c r="LWB15" s="66"/>
      <c r="LWC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D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R15" s="66"/>
      <c r="LXS15" s="66"/>
      <c r="LXT15" s="66"/>
      <c r="LXU15" s="66"/>
      <c r="LXV15" s="66"/>
      <c r="LXW15" s="66"/>
      <c r="LXX15" s="66"/>
      <c r="LXY15" s="66"/>
      <c r="LXZ15" s="66"/>
      <c r="LYA15" s="66"/>
      <c r="LYB15" s="66"/>
      <c r="LYC15" s="66"/>
      <c r="LYD15" s="66"/>
      <c r="LYE15" s="66"/>
      <c r="LYF15" s="66"/>
      <c r="LYG15" s="66"/>
      <c r="LYH15" s="66"/>
      <c r="LYI15" s="66"/>
      <c r="LYJ15" s="66"/>
      <c r="LYK15" s="66"/>
      <c r="LYL15" s="66"/>
      <c r="LYM15" s="66"/>
      <c r="LYN15" s="66"/>
      <c r="LYO15" s="66"/>
      <c r="LYP15" s="66"/>
      <c r="LYQ15" s="66"/>
      <c r="LYR15" s="66"/>
      <c r="LYS15" s="66"/>
      <c r="LYT15" s="66"/>
      <c r="LYU15" s="66"/>
      <c r="LYV15" s="66"/>
      <c r="LYW15" s="66"/>
      <c r="LYX15" s="66"/>
      <c r="LYY15" s="66"/>
      <c r="LYZ15" s="66"/>
      <c r="LZA15" s="66"/>
      <c r="LZB15" s="66"/>
      <c r="LZC15" s="66"/>
      <c r="LZD15" s="66"/>
      <c r="LZE15" s="66"/>
      <c r="LZF15" s="66"/>
      <c r="LZG15" s="66"/>
      <c r="LZH15" s="66"/>
      <c r="LZI15" s="66"/>
      <c r="LZJ15" s="66"/>
      <c r="LZK15" s="66"/>
      <c r="LZL15" s="66"/>
      <c r="LZM15" s="66"/>
      <c r="LZN15" s="66"/>
      <c r="LZO15" s="66"/>
      <c r="LZP15" s="66"/>
      <c r="LZQ15" s="66"/>
      <c r="LZR15" s="66"/>
      <c r="LZS15" s="66"/>
      <c r="LZT15" s="66"/>
      <c r="LZU15" s="66"/>
      <c r="LZV15" s="66"/>
      <c r="LZW15" s="66"/>
      <c r="LZX15" s="66"/>
      <c r="LZY15" s="66"/>
      <c r="LZZ15" s="66"/>
      <c r="MAA15" s="66"/>
      <c r="MAB15" s="66"/>
      <c r="MAC15" s="66"/>
      <c r="MAD15" s="66"/>
      <c r="MAE15" s="66"/>
      <c r="MAF15" s="66"/>
      <c r="MAG15" s="66"/>
      <c r="MAH15" s="66"/>
      <c r="MAI15" s="66"/>
      <c r="MAJ15" s="66"/>
      <c r="MAK15" s="66"/>
      <c r="MAL15" s="66"/>
      <c r="MAM15" s="66"/>
      <c r="MAN15" s="66"/>
      <c r="MAO15" s="66"/>
      <c r="MAP15" s="66"/>
      <c r="MAQ15" s="66"/>
      <c r="MAR15" s="66"/>
      <c r="MAS15" s="66"/>
      <c r="MAT15" s="66"/>
      <c r="MAU15" s="66"/>
      <c r="MAV15" s="66"/>
      <c r="MAW15" s="66"/>
      <c r="MAX15" s="66"/>
      <c r="MAY15" s="66"/>
      <c r="MAZ15" s="66"/>
      <c r="MBA15" s="66"/>
      <c r="MBB15" s="66"/>
      <c r="MBC15" s="66"/>
      <c r="MBD15" s="66"/>
      <c r="MBE15" s="66"/>
      <c r="MBF15" s="66"/>
      <c r="MBG15" s="66"/>
      <c r="MBH15" s="66"/>
      <c r="MBI15" s="66"/>
      <c r="MBJ15" s="66"/>
      <c r="MBK15" s="66"/>
      <c r="MBL15" s="66"/>
      <c r="MBM15" s="66"/>
      <c r="MBN15" s="66"/>
      <c r="MBO15" s="66"/>
      <c r="MBP15" s="66"/>
      <c r="MBQ15" s="66"/>
      <c r="MBR15" s="66"/>
      <c r="MBS15" s="66"/>
      <c r="MBT15" s="66"/>
      <c r="MBU15" s="66"/>
      <c r="MBV15" s="66"/>
      <c r="MBW15" s="66"/>
      <c r="MBX15" s="66"/>
      <c r="MBY15" s="66"/>
      <c r="MBZ15" s="66"/>
      <c r="MCA15" s="66"/>
      <c r="MCB15" s="66"/>
      <c r="MCC15" s="66"/>
      <c r="MCD15" s="66"/>
      <c r="MCE15" s="66"/>
      <c r="MCF15" s="66"/>
      <c r="MCG15" s="66"/>
      <c r="MCH15" s="66"/>
      <c r="MCI15" s="66"/>
      <c r="MCJ15" s="66"/>
      <c r="MCK15" s="66"/>
      <c r="MCL15" s="66"/>
      <c r="MCM15" s="66"/>
      <c r="MCN15" s="66"/>
      <c r="MCO15" s="66"/>
      <c r="MCP15" s="66"/>
      <c r="MCQ15" s="66"/>
      <c r="MCR15" s="66"/>
      <c r="MCS15" s="66"/>
      <c r="MCT15" s="66"/>
      <c r="MCU15" s="66"/>
      <c r="MCV15" s="66"/>
      <c r="MCW15" s="66"/>
      <c r="MCX15" s="66"/>
      <c r="MCY15" s="66"/>
      <c r="MCZ15" s="66"/>
      <c r="MDA15" s="66"/>
      <c r="MDB15" s="66"/>
      <c r="MDC15" s="66"/>
      <c r="MDD15" s="66"/>
      <c r="MDE15" s="66"/>
      <c r="MDF15" s="66"/>
      <c r="MDG15" s="66"/>
      <c r="MDH15" s="66"/>
      <c r="MDI15" s="66"/>
      <c r="MDJ15" s="66"/>
      <c r="MDK15" s="66"/>
      <c r="MDL15" s="66"/>
      <c r="MDM15" s="66"/>
      <c r="MDN15" s="66"/>
      <c r="MDO15" s="66"/>
      <c r="MDP15" s="66"/>
      <c r="MDQ15" s="66"/>
      <c r="MDR15" s="66"/>
      <c r="MDS15" s="66"/>
      <c r="MDT15" s="66"/>
      <c r="MDU15" s="66"/>
      <c r="MDV15" s="66"/>
      <c r="MDW15" s="66"/>
      <c r="MDX15" s="66"/>
      <c r="MDY15" s="66"/>
      <c r="MDZ15" s="66"/>
      <c r="MEA15" s="66"/>
      <c r="MEB15" s="66"/>
      <c r="MEC15" s="66"/>
      <c r="MED15" s="66"/>
      <c r="MEE15" s="66"/>
      <c r="MEF15" s="66"/>
      <c r="MEG15" s="66"/>
      <c r="MEH15" s="66"/>
      <c r="MEI15" s="66"/>
      <c r="MEJ15" s="66"/>
      <c r="MEK15" s="66"/>
      <c r="MEL15" s="66"/>
      <c r="MEM15" s="66"/>
      <c r="MEN15" s="66"/>
      <c r="MEO15" s="66"/>
      <c r="MEP15" s="66"/>
      <c r="MEQ15" s="66"/>
      <c r="MER15" s="66"/>
      <c r="MES15" s="66"/>
      <c r="MET15" s="66"/>
      <c r="MEU15" s="66"/>
      <c r="MEV15" s="66"/>
      <c r="MEW15" s="66"/>
      <c r="MEX15" s="66"/>
      <c r="MEY15" s="66"/>
      <c r="MEZ15" s="66"/>
      <c r="MFA15" s="66"/>
      <c r="MFB15" s="66"/>
      <c r="MFC15" s="66"/>
      <c r="MFD15" s="66"/>
      <c r="MFE15" s="66"/>
      <c r="MFF15" s="66"/>
      <c r="MFG15" s="66"/>
      <c r="MFH15" s="66"/>
      <c r="MFI15" s="66"/>
      <c r="MFJ15" s="66"/>
      <c r="MFK15" s="66"/>
      <c r="MFL15" s="66"/>
      <c r="MFM15" s="66"/>
      <c r="MFN15" s="66"/>
      <c r="MFO15" s="66"/>
      <c r="MFP15" s="66"/>
      <c r="MFQ15" s="66"/>
      <c r="MFR15" s="66"/>
      <c r="MFS15" s="66"/>
      <c r="MFT15" s="66"/>
      <c r="MFU15" s="66"/>
      <c r="MFV15" s="66"/>
      <c r="MFW15" s="66"/>
      <c r="MFX15" s="66"/>
      <c r="MFY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GZ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N15" s="66"/>
      <c r="MHO15" s="66"/>
      <c r="MHP15" s="66"/>
      <c r="MHQ15" s="66"/>
      <c r="MHR15" s="66"/>
      <c r="MHS15" s="66"/>
      <c r="MHT15" s="66"/>
      <c r="MHU15" s="66"/>
      <c r="MHV15" s="66"/>
      <c r="MHW15" s="66"/>
      <c r="MHX15" s="66"/>
      <c r="MHY15" s="66"/>
      <c r="MHZ15" s="66"/>
      <c r="MIA15" s="66"/>
      <c r="MIB15" s="66"/>
      <c r="MIC15" s="66"/>
      <c r="MID15" s="66"/>
      <c r="MIE15" s="66"/>
      <c r="MIF15" s="66"/>
      <c r="MIG15" s="66"/>
      <c r="MIH15" s="66"/>
      <c r="MII15" s="66"/>
      <c r="MIJ15" s="66"/>
      <c r="MIK15" s="66"/>
      <c r="MIL15" s="66"/>
      <c r="MIM15" s="66"/>
      <c r="MIN15" s="66"/>
      <c r="MIO15" s="66"/>
      <c r="MIP15" s="66"/>
      <c r="MIQ15" s="66"/>
      <c r="MIR15" s="66"/>
      <c r="MIS15" s="66"/>
      <c r="MIT15" s="66"/>
      <c r="MIU15" s="66"/>
      <c r="MIV15" s="66"/>
      <c r="MIW15" s="66"/>
      <c r="MIX15" s="66"/>
      <c r="MIY15" s="66"/>
      <c r="MIZ15" s="66"/>
      <c r="MJA15" s="66"/>
      <c r="MJB15" s="66"/>
      <c r="MJC15" s="66"/>
      <c r="MJD15" s="66"/>
      <c r="MJE15" s="66"/>
      <c r="MJF15" s="66"/>
      <c r="MJG15" s="66"/>
      <c r="MJH15" s="66"/>
      <c r="MJI15" s="66"/>
      <c r="MJJ15" s="66"/>
      <c r="MJK15" s="66"/>
      <c r="MJL15" s="66"/>
      <c r="MJM15" s="66"/>
      <c r="MJN15" s="66"/>
      <c r="MJO15" s="66"/>
      <c r="MJP15" s="66"/>
      <c r="MJQ15" s="66"/>
      <c r="MJR15" s="66"/>
      <c r="MJS15" s="66"/>
      <c r="MJT15" s="66"/>
      <c r="MJU15" s="66"/>
      <c r="MJV15" s="66"/>
      <c r="MJW15" s="66"/>
      <c r="MJX15" s="66"/>
      <c r="MJY15" s="66"/>
      <c r="MJZ15" s="66"/>
      <c r="MKA15" s="66"/>
      <c r="MKB15" s="66"/>
      <c r="MKC15" s="66"/>
      <c r="MKD15" s="66"/>
      <c r="MKE15" s="66"/>
      <c r="MKF15" s="66"/>
      <c r="MKG15" s="66"/>
      <c r="MKH15" s="66"/>
      <c r="MKI15" s="66"/>
      <c r="MKJ15" s="66"/>
      <c r="MKK15" s="66"/>
      <c r="MKL15" s="66"/>
      <c r="MKM15" s="66"/>
      <c r="MKN15" s="66"/>
      <c r="MKO15" s="66"/>
      <c r="MKP15" s="66"/>
      <c r="MKQ15" s="66"/>
      <c r="MKR15" s="66"/>
      <c r="MKS15" s="66"/>
      <c r="MKT15" s="66"/>
      <c r="MKU15" s="66"/>
      <c r="MKV15" s="66"/>
      <c r="MKW15" s="66"/>
      <c r="MKX15" s="66"/>
      <c r="MKY15" s="66"/>
      <c r="MKZ15" s="66"/>
      <c r="MLA15" s="66"/>
      <c r="MLB15" s="66"/>
      <c r="MLC15" s="66"/>
      <c r="MLD15" s="66"/>
      <c r="MLE15" s="66"/>
      <c r="MLF15" s="66"/>
      <c r="MLG15" s="66"/>
      <c r="MLH15" s="66"/>
      <c r="MLI15" s="66"/>
      <c r="MLJ15" s="66"/>
      <c r="MLK15" s="66"/>
      <c r="MLL15" s="66"/>
      <c r="MLM15" s="66"/>
      <c r="MLN15" s="66"/>
      <c r="MLO15" s="66"/>
      <c r="MLP15" s="66"/>
      <c r="MLQ15" s="66"/>
      <c r="MLR15" s="66"/>
      <c r="MLS15" s="66"/>
      <c r="MLT15" s="66"/>
      <c r="MLU15" s="66"/>
      <c r="MLV15" s="66"/>
      <c r="MLW15" s="66"/>
      <c r="MLX15" s="66"/>
      <c r="MLY15" s="66"/>
      <c r="MLZ15" s="66"/>
      <c r="MMA15" s="66"/>
      <c r="MMB15" s="66"/>
      <c r="MMC15" s="66"/>
      <c r="MMD15" s="66"/>
      <c r="MME15" s="66"/>
      <c r="MMF15" s="66"/>
      <c r="MMG15" s="66"/>
      <c r="MMH15" s="66"/>
      <c r="MMI15" s="66"/>
      <c r="MMJ15" s="66"/>
      <c r="MMK15" s="66"/>
      <c r="MML15" s="66"/>
      <c r="MMM15" s="66"/>
      <c r="MMN15" s="66"/>
      <c r="MMO15" s="66"/>
      <c r="MMP15" s="66"/>
      <c r="MMQ15" s="66"/>
      <c r="MMR15" s="66"/>
      <c r="MMS15" s="66"/>
      <c r="MMT15" s="66"/>
      <c r="MMU15" s="66"/>
      <c r="MMV15" s="66"/>
      <c r="MMW15" s="66"/>
      <c r="MMX15" s="66"/>
      <c r="MMY15" s="66"/>
      <c r="MMZ15" s="66"/>
      <c r="MNA15" s="66"/>
      <c r="MNB15" s="66"/>
      <c r="MNC15" s="66"/>
      <c r="MND15" s="66"/>
      <c r="MNE15" s="66"/>
      <c r="MNF15" s="66"/>
      <c r="MNG15" s="66"/>
      <c r="MNH15" s="66"/>
      <c r="MNI15" s="66"/>
      <c r="MNJ15" s="66"/>
      <c r="MNK15" s="66"/>
      <c r="MNL15" s="66"/>
      <c r="MNM15" s="66"/>
      <c r="MNN15" s="66"/>
      <c r="MNO15" s="66"/>
      <c r="MNP15" s="66"/>
      <c r="MNQ15" s="66"/>
      <c r="MNR15" s="66"/>
      <c r="MNS15" s="66"/>
      <c r="MNT15" s="66"/>
      <c r="MNU15" s="66"/>
      <c r="MNV15" s="66"/>
      <c r="MNW15" s="66"/>
      <c r="MNX15" s="66"/>
      <c r="MNY15" s="66"/>
      <c r="MNZ15" s="66"/>
      <c r="MOA15" s="66"/>
      <c r="MOB15" s="66"/>
      <c r="MOC15" s="66"/>
      <c r="MOD15" s="66"/>
      <c r="MOE15" s="66"/>
      <c r="MOF15" s="66"/>
      <c r="MOG15" s="66"/>
      <c r="MOH15" s="66"/>
      <c r="MOI15" s="66"/>
      <c r="MOJ15" s="66"/>
      <c r="MOK15" s="66"/>
      <c r="MOL15" s="66"/>
      <c r="MOM15" s="66"/>
      <c r="MON15" s="66"/>
      <c r="MOO15" s="66"/>
      <c r="MOP15" s="66"/>
      <c r="MOQ15" s="66"/>
      <c r="MOR15" s="66"/>
      <c r="MOS15" s="66"/>
      <c r="MOT15" s="66"/>
      <c r="MOU15" s="66"/>
      <c r="MOV15" s="66"/>
      <c r="MOW15" s="66"/>
      <c r="MOX15" s="66"/>
      <c r="MOY15" s="66"/>
      <c r="MOZ15" s="66"/>
      <c r="MPA15" s="66"/>
      <c r="MPB15" s="66"/>
      <c r="MPC15" s="66"/>
      <c r="MPD15" s="66"/>
      <c r="MPE15" s="66"/>
      <c r="MPF15" s="66"/>
      <c r="MPG15" s="66"/>
      <c r="MPH15" s="66"/>
      <c r="MPI15" s="66"/>
      <c r="MPJ15" s="66"/>
      <c r="MPK15" s="66"/>
      <c r="MPL15" s="66"/>
      <c r="MPM15" s="66"/>
      <c r="MPN15" s="66"/>
      <c r="MPO15" s="66"/>
      <c r="MPP15" s="66"/>
      <c r="MPQ15" s="66"/>
      <c r="MPR15" s="66"/>
      <c r="MPS15" s="66"/>
      <c r="MPT15" s="66"/>
      <c r="MPU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V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J15" s="66"/>
      <c r="MRK15" s="66"/>
      <c r="MRL15" s="66"/>
      <c r="MRM15" s="66"/>
      <c r="MRN15" s="66"/>
      <c r="MRO15" s="66"/>
      <c r="MRP15" s="66"/>
      <c r="MRQ15" s="66"/>
      <c r="MRR15" s="66"/>
      <c r="MRS15" s="66"/>
      <c r="MRT15" s="66"/>
      <c r="MRU15" s="66"/>
      <c r="MRV15" s="66"/>
      <c r="MRW15" s="66"/>
      <c r="MRX15" s="66"/>
      <c r="MRY15" s="66"/>
      <c r="MRZ15" s="66"/>
      <c r="MSA15" s="66"/>
      <c r="MSB15" s="66"/>
      <c r="MSC15" s="66"/>
      <c r="MSD15" s="66"/>
      <c r="MSE15" s="66"/>
      <c r="MSF15" s="66"/>
      <c r="MSG15" s="66"/>
      <c r="MSH15" s="66"/>
      <c r="MSI15" s="66"/>
      <c r="MSJ15" s="66"/>
      <c r="MSK15" s="66"/>
      <c r="MSL15" s="66"/>
      <c r="MSM15" s="66"/>
      <c r="MSN15" s="66"/>
      <c r="MSO15" s="66"/>
      <c r="MSP15" s="66"/>
      <c r="MSQ15" s="66"/>
      <c r="MSR15" s="66"/>
      <c r="MSS15" s="66"/>
      <c r="MST15" s="66"/>
      <c r="MSU15" s="66"/>
      <c r="MSV15" s="66"/>
      <c r="MSW15" s="66"/>
      <c r="MSX15" s="66"/>
      <c r="MSY15" s="66"/>
      <c r="MSZ15" s="66"/>
      <c r="MTA15" s="66"/>
      <c r="MTB15" s="66"/>
      <c r="MTC15" s="66"/>
      <c r="MTD15" s="66"/>
      <c r="MTE15" s="66"/>
      <c r="MTF15" s="66"/>
      <c r="MTG15" s="66"/>
      <c r="MTH15" s="66"/>
      <c r="MTI15" s="66"/>
      <c r="MTJ15" s="66"/>
      <c r="MTK15" s="66"/>
      <c r="MTL15" s="66"/>
      <c r="MTM15" s="66"/>
      <c r="MTN15" s="66"/>
      <c r="MTO15" s="66"/>
      <c r="MTP15" s="66"/>
      <c r="MTQ15" s="66"/>
      <c r="MTR15" s="66"/>
      <c r="MTS15" s="66"/>
      <c r="MTT15" s="66"/>
      <c r="MTU15" s="66"/>
      <c r="MTV15" s="66"/>
      <c r="MTW15" s="66"/>
      <c r="MTX15" s="66"/>
      <c r="MTY15" s="66"/>
      <c r="MTZ15" s="66"/>
      <c r="MUA15" s="66"/>
      <c r="MUB15" s="66"/>
      <c r="MUC15" s="66"/>
      <c r="MUD15" s="66"/>
      <c r="MUE15" s="66"/>
      <c r="MUF15" s="66"/>
      <c r="MUG15" s="66"/>
      <c r="MUH15" s="66"/>
      <c r="MUI15" s="66"/>
      <c r="MUJ15" s="66"/>
      <c r="MUK15" s="66"/>
      <c r="MUL15" s="66"/>
      <c r="MUM15" s="66"/>
      <c r="MUN15" s="66"/>
      <c r="MUO15" s="66"/>
      <c r="MUP15" s="66"/>
      <c r="MUQ15" s="66"/>
      <c r="MUR15" s="66"/>
      <c r="MUS15" s="66"/>
      <c r="MUT15" s="66"/>
      <c r="MUU15" s="66"/>
      <c r="MUV15" s="66"/>
      <c r="MUW15" s="66"/>
      <c r="MUX15" s="66"/>
      <c r="MUY15" s="66"/>
      <c r="MUZ15" s="66"/>
      <c r="MVA15" s="66"/>
      <c r="MVB15" s="66"/>
      <c r="MVC15" s="66"/>
      <c r="MVD15" s="66"/>
      <c r="MVE15" s="66"/>
      <c r="MVF15" s="66"/>
      <c r="MVG15" s="66"/>
      <c r="MVH15" s="66"/>
      <c r="MVI15" s="66"/>
      <c r="MVJ15" s="66"/>
      <c r="MVK15" s="66"/>
      <c r="MVL15" s="66"/>
      <c r="MVM15" s="66"/>
      <c r="MVN15" s="66"/>
      <c r="MVO15" s="66"/>
      <c r="MVP15" s="66"/>
      <c r="MVQ15" s="66"/>
      <c r="MVR15" s="66"/>
      <c r="MVS15" s="66"/>
      <c r="MVT15" s="66"/>
      <c r="MVU15" s="66"/>
      <c r="MVV15" s="66"/>
      <c r="MVW15" s="66"/>
      <c r="MVX15" s="66"/>
      <c r="MVY15" s="66"/>
      <c r="MVZ15" s="66"/>
      <c r="MWA15" s="66"/>
      <c r="MWB15" s="66"/>
      <c r="MWC15" s="66"/>
      <c r="MWD15" s="66"/>
      <c r="MWE15" s="66"/>
      <c r="MWF15" s="66"/>
      <c r="MWG15" s="66"/>
      <c r="MWH15" s="66"/>
      <c r="MWI15" s="66"/>
      <c r="MWJ15" s="66"/>
      <c r="MWK15" s="66"/>
      <c r="MWL15" s="66"/>
      <c r="MWM15" s="66"/>
      <c r="MWN15" s="66"/>
      <c r="MWO15" s="66"/>
      <c r="MWP15" s="66"/>
      <c r="MWQ15" s="66"/>
      <c r="MWR15" s="66"/>
      <c r="MWS15" s="66"/>
      <c r="MWT15" s="66"/>
      <c r="MWU15" s="66"/>
      <c r="MWV15" s="66"/>
      <c r="MWW15" s="66"/>
      <c r="MWX15" s="66"/>
      <c r="MWY15" s="66"/>
      <c r="MWZ15" s="66"/>
      <c r="MXA15" s="66"/>
      <c r="MXB15" s="66"/>
      <c r="MXC15" s="66"/>
      <c r="MXD15" s="66"/>
      <c r="MXE15" s="66"/>
      <c r="MXF15" s="66"/>
      <c r="MXG15" s="66"/>
      <c r="MXH15" s="66"/>
      <c r="MXI15" s="66"/>
      <c r="MXJ15" s="66"/>
      <c r="MXK15" s="66"/>
      <c r="MXL15" s="66"/>
      <c r="MXM15" s="66"/>
      <c r="MXN15" s="66"/>
      <c r="MXO15" s="66"/>
      <c r="MXP15" s="66"/>
      <c r="MXQ15" s="66"/>
      <c r="MXR15" s="66"/>
      <c r="MXS15" s="66"/>
      <c r="MXT15" s="66"/>
      <c r="MXU15" s="66"/>
      <c r="MXV15" s="66"/>
      <c r="MXW15" s="66"/>
      <c r="MXX15" s="66"/>
      <c r="MXY15" s="66"/>
      <c r="MXZ15" s="66"/>
      <c r="MYA15" s="66"/>
      <c r="MYB15" s="66"/>
      <c r="MYC15" s="66"/>
      <c r="MYD15" s="66"/>
      <c r="MYE15" s="66"/>
      <c r="MYF15" s="66"/>
      <c r="MYG15" s="66"/>
      <c r="MYH15" s="66"/>
      <c r="MYI15" s="66"/>
      <c r="MYJ15" s="66"/>
      <c r="MYK15" s="66"/>
      <c r="MYL15" s="66"/>
      <c r="MYM15" s="66"/>
      <c r="MYN15" s="66"/>
      <c r="MYO15" s="66"/>
      <c r="MYP15" s="66"/>
      <c r="MYQ15" s="66"/>
      <c r="MYR15" s="66"/>
      <c r="MYS15" s="66"/>
      <c r="MYT15" s="66"/>
      <c r="MYU15" s="66"/>
      <c r="MYV15" s="66"/>
      <c r="MYW15" s="66"/>
      <c r="MYX15" s="66"/>
      <c r="MYY15" s="66"/>
      <c r="MYZ15" s="66"/>
      <c r="MZA15" s="66"/>
      <c r="MZB15" s="66"/>
      <c r="MZC15" s="66"/>
      <c r="MZD15" s="66"/>
      <c r="MZE15" s="66"/>
      <c r="MZF15" s="66"/>
      <c r="MZG15" s="66"/>
      <c r="MZH15" s="66"/>
      <c r="MZI15" s="66"/>
      <c r="MZJ15" s="66"/>
      <c r="MZK15" s="66"/>
      <c r="MZL15" s="66"/>
      <c r="MZM15" s="66"/>
      <c r="MZN15" s="66"/>
      <c r="MZO15" s="66"/>
      <c r="MZP15" s="66"/>
      <c r="MZQ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R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F15" s="66"/>
      <c r="NBG15" s="66"/>
      <c r="NBH15" s="66"/>
      <c r="NBI15" s="66"/>
      <c r="NBJ15" s="66"/>
      <c r="NBK15" s="66"/>
      <c r="NBL15" s="66"/>
      <c r="NBM15" s="66"/>
      <c r="NBN15" s="66"/>
      <c r="NBO15" s="66"/>
      <c r="NBP15" s="66"/>
      <c r="NBQ15" s="66"/>
      <c r="NBR15" s="66"/>
      <c r="NBS15" s="66"/>
      <c r="NBT15" s="66"/>
      <c r="NBU15" s="66"/>
      <c r="NBV15" s="66"/>
      <c r="NBW15" s="66"/>
      <c r="NBX15" s="66"/>
      <c r="NBY15" s="66"/>
      <c r="NBZ15" s="66"/>
      <c r="NCA15" s="66"/>
      <c r="NCB15" s="66"/>
      <c r="NCC15" s="66"/>
      <c r="NCD15" s="66"/>
      <c r="NCE15" s="66"/>
      <c r="NCF15" s="66"/>
      <c r="NCG15" s="66"/>
      <c r="NCH15" s="66"/>
      <c r="NCI15" s="66"/>
      <c r="NCJ15" s="66"/>
      <c r="NCK15" s="66"/>
      <c r="NCL15" s="66"/>
      <c r="NCM15" s="66"/>
      <c r="NCN15" s="66"/>
      <c r="NCO15" s="66"/>
      <c r="NCP15" s="66"/>
      <c r="NCQ15" s="66"/>
      <c r="NCR15" s="66"/>
      <c r="NCS15" s="66"/>
      <c r="NCT15" s="66"/>
      <c r="NCU15" s="66"/>
      <c r="NCV15" s="66"/>
      <c r="NCW15" s="66"/>
      <c r="NCX15" s="66"/>
      <c r="NCY15" s="66"/>
      <c r="NCZ15" s="66"/>
      <c r="NDA15" s="66"/>
      <c r="NDB15" s="66"/>
      <c r="NDC15" s="66"/>
      <c r="NDD15" s="66"/>
      <c r="NDE15" s="66"/>
      <c r="NDF15" s="66"/>
      <c r="NDG15" s="66"/>
      <c r="NDH15" s="66"/>
      <c r="NDI15" s="66"/>
      <c r="NDJ15" s="66"/>
      <c r="NDK15" s="66"/>
      <c r="NDL15" s="66"/>
      <c r="NDM15" s="66"/>
      <c r="NDN15" s="66"/>
      <c r="NDO15" s="66"/>
      <c r="NDP15" s="66"/>
      <c r="NDQ15" s="66"/>
      <c r="NDR15" s="66"/>
      <c r="NDS15" s="66"/>
      <c r="NDT15" s="66"/>
      <c r="NDU15" s="66"/>
      <c r="NDV15" s="66"/>
      <c r="NDW15" s="66"/>
      <c r="NDX15" s="66"/>
      <c r="NDY15" s="66"/>
      <c r="NDZ15" s="66"/>
      <c r="NEA15" s="66"/>
      <c r="NEB15" s="66"/>
      <c r="NEC15" s="66"/>
      <c r="NED15" s="66"/>
      <c r="NEE15" s="66"/>
      <c r="NEF15" s="66"/>
      <c r="NEG15" s="66"/>
      <c r="NEH15" s="66"/>
      <c r="NEI15" s="66"/>
      <c r="NEJ15" s="66"/>
      <c r="NEK15" s="66"/>
      <c r="NEL15" s="66"/>
      <c r="NEM15" s="66"/>
      <c r="NEN15" s="66"/>
      <c r="NEO15" s="66"/>
      <c r="NEP15" s="66"/>
      <c r="NEQ15" s="66"/>
      <c r="NER15" s="66"/>
      <c r="NES15" s="66"/>
      <c r="NET15" s="66"/>
      <c r="NEU15" s="66"/>
      <c r="NEV15" s="66"/>
      <c r="NEW15" s="66"/>
      <c r="NEX15" s="66"/>
      <c r="NEY15" s="66"/>
      <c r="NEZ15" s="66"/>
      <c r="NFA15" s="66"/>
      <c r="NFB15" s="66"/>
      <c r="NFC15" s="66"/>
      <c r="NFD15" s="66"/>
      <c r="NFE15" s="66"/>
      <c r="NFF15" s="66"/>
      <c r="NFG15" s="66"/>
      <c r="NFH15" s="66"/>
      <c r="NFI15" s="66"/>
      <c r="NFJ15" s="66"/>
      <c r="NFK15" s="66"/>
      <c r="NFL15" s="66"/>
      <c r="NFM15" s="66"/>
      <c r="NFN15" s="66"/>
      <c r="NFO15" s="66"/>
      <c r="NFP15" s="66"/>
      <c r="NFQ15" s="66"/>
      <c r="NFR15" s="66"/>
      <c r="NFS15" s="66"/>
      <c r="NFT15" s="66"/>
      <c r="NFU15" s="66"/>
      <c r="NFV15" s="66"/>
      <c r="NFW15" s="66"/>
      <c r="NFX15" s="66"/>
      <c r="NFY15" s="66"/>
      <c r="NFZ15" s="66"/>
      <c r="NGA15" s="66"/>
      <c r="NGB15" s="66"/>
      <c r="NGC15" s="66"/>
      <c r="NGD15" s="66"/>
      <c r="NGE15" s="66"/>
      <c r="NGF15" s="66"/>
      <c r="NGG15" s="66"/>
      <c r="NGH15" s="66"/>
      <c r="NGI15" s="66"/>
      <c r="NGJ15" s="66"/>
      <c r="NGK15" s="66"/>
      <c r="NGL15" s="66"/>
      <c r="NGM15" s="66"/>
      <c r="NGN15" s="66"/>
      <c r="NGO15" s="66"/>
      <c r="NGP15" s="66"/>
      <c r="NGQ15" s="66"/>
      <c r="NGR15" s="66"/>
      <c r="NGS15" s="66"/>
      <c r="NGT15" s="66"/>
      <c r="NGU15" s="66"/>
      <c r="NGV15" s="66"/>
      <c r="NGW15" s="66"/>
      <c r="NGX15" s="66"/>
      <c r="NGY15" s="66"/>
      <c r="NGZ15" s="66"/>
      <c r="NHA15" s="66"/>
      <c r="NHB15" s="66"/>
      <c r="NHC15" s="66"/>
      <c r="NHD15" s="66"/>
      <c r="NHE15" s="66"/>
      <c r="NHF15" s="66"/>
      <c r="NHG15" s="66"/>
      <c r="NHH15" s="66"/>
      <c r="NHI15" s="66"/>
      <c r="NHJ15" s="66"/>
      <c r="NHK15" s="66"/>
      <c r="NHL15" s="66"/>
      <c r="NHM15" s="66"/>
      <c r="NHN15" s="66"/>
      <c r="NHO15" s="66"/>
      <c r="NHP15" s="66"/>
      <c r="NHQ15" s="66"/>
      <c r="NHR15" s="66"/>
      <c r="NHS15" s="66"/>
      <c r="NHT15" s="66"/>
      <c r="NHU15" s="66"/>
      <c r="NHV15" s="66"/>
      <c r="NHW15" s="66"/>
      <c r="NHX15" s="66"/>
      <c r="NHY15" s="66"/>
      <c r="NHZ15" s="66"/>
      <c r="NIA15" s="66"/>
      <c r="NIB15" s="66"/>
      <c r="NIC15" s="66"/>
      <c r="NID15" s="66"/>
      <c r="NIE15" s="66"/>
      <c r="NIF15" s="66"/>
      <c r="NIG15" s="66"/>
      <c r="NIH15" s="66"/>
      <c r="NII15" s="66"/>
      <c r="NIJ15" s="66"/>
      <c r="NIK15" s="66"/>
      <c r="NIL15" s="66"/>
      <c r="NIM15" s="66"/>
      <c r="NIN15" s="66"/>
      <c r="NIO15" s="66"/>
      <c r="NIP15" s="66"/>
      <c r="NIQ15" s="66"/>
      <c r="NIR15" s="66"/>
      <c r="NIS15" s="66"/>
      <c r="NIT15" s="66"/>
      <c r="NIU15" s="66"/>
      <c r="NIV15" s="66"/>
      <c r="NIW15" s="66"/>
      <c r="NIX15" s="66"/>
      <c r="NIY15" s="66"/>
      <c r="NIZ15" s="66"/>
      <c r="NJA15" s="66"/>
      <c r="NJB15" s="66"/>
      <c r="NJC15" s="66"/>
      <c r="NJD15" s="66"/>
      <c r="NJE15" s="66"/>
      <c r="NJF15" s="66"/>
      <c r="NJG15" s="66"/>
      <c r="NJH15" s="66"/>
      <c r="NJI15" s="66"/>
      <c r="NJJ15" s="66"/>
      <c r="NJK15" s="66"/>
      <c r="NJL15" s="66"/>
      <c r="NJM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N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B15" s="66"/>
      <c r="NLC15" s="66"/>
      <c r="NLD15" s="66"/>
      <c r="NLE15" s="66"/>
      <c r="NLF15" s="66"/>
      <c r="NLG15" s="66"/>
      <c r="NLH15" s="66"/>
      <c r="NLI15" s="66"/>
      <c r="NLJ15" s="66"/>
      <c r="NLK15" s="66"/>
      <c r="NLL15" s="66"/>
      <c r="NLM15" s="66"/>
      <c r="NLN15" s="66"/>
      <c r="NLO15" s="66"/>
      <c r="NLP15" s="66"/>
      <c r="NLQ15" s="66"/>
      <c r="NLR15" s="66"/>
      <c r="NLS15" s="66"/>
      <c r="NLT15" s="66"/>
      <c r="NLU15" s="66"/>
      <c r="NLV15" s="66"/>
      <c r="NLW15" s="66"/>
      <c r="NLX15" s="66"/>
      <c r="NLY15" s="66"/>
      <c r="NLZ15" s="66"/>
      <c r="NMA15" s="66"/>
      <c r="NMB15" s="66"/>
      <c r="NMC15" s="66"/>
      <c r="NMD15" s="66"/>
      <c r="NME15" s="66"/>
      <c r="NMF15" s="66"/>
      <c r="NMG15" s="66"/>
      <c r="NMH15" s="66"/>
      <c r="NMI15" s="66"/>
      <c r="NMJ15" s="66"/>
      <c r="NMK15" s="66"/>
      <c r="NML15" s="66"/>
      <c r="NMM15" s="66"/>
      <c r="NMN15" s="66"/>
      <c r="NMO15" s="66"/>
      <c r="NMP15" s="66"/>
      <c r="NMQ15" s="66"/>
      <c r="NMR15" s="66"/>
      <c r="NMS15" s="66"/>
      <c r="NMT15" s="66"/>
      <c r="NMU15" s="66"/>
      <c r="NMV15" s="66"/>
      <c r="NMW15" s="66"/>
      <c r="NMX15" s="66"/>
      <c r="NMY15" s="66"/>
      <c r="NMZ15" s="66"/>
      <c r="NNA15" s="66"/>
      <c r="NNB15" s="66"/>
      <c r="NNC15" s="66"/>
      <c r="NND15" s="66"/>
      <c r="NNE15" s="66"/>
      <c r="NNF15" s="66"/>
      <c r="NNG15" s="66"/>
      <c r="NNH15" s="66"/>
      <c r="NNI15" s="66"/>
      <c r="NNJ15" s="66"/>
      <c r="NNK15" s="66"/>
      <c r="NNL15" s="66"/>
      <c r="NNM15" s="66"/>
      <c r="NNN15" s="66"/>
      <c r="NNO15" s="66"/>
      <c r="NNP15" s="66"/>
      <c r="NNQ15" s="66"/>
      <c r="NNR15" s="66"/>
      <c r="NNS15" s="66"/>
      <c r="NNT15" s="66"/>
      <c r="NNU15" s="66"/>
      <c r="NNV15" s="66"/>
      <c r="NNW15" s="66"/>
      <c r="NNX15" s="66"/>
      <c r="NNY15" s="66"/>
      <c r="NNZ15" s="66"/>
      <c r="NOA15" s="66"/>
      <c r="NOB15" s="66"/>
      <c r="NOC15" s="66"/>
      <c r="NOD15" s="66"/>
      <c r="NOE15" s="66"/>
      <c r="NOF15" s="66"/>
      <c r="NOG15" s="66"/>
      <c r="NOH15" s="66"/>
      <c r="NOI15" s="66"/>
      <c r="NOJ15" s="66"/>
      <c r="NOK15" s="66"/>
      <c r="NOL15" s="66"/>
      <c r="NOM15" s="66"/>
      <c r="NON15" s="66"/>
      <c r="NOO15" s="66"/>
      <c r="NOP15" s="66"/>
      <c r="NOQ15" s="66"/>
      <c r="NOR15" s="66"/>
      <c r="NOS15" s="66"/>
      <c r="NOT15" s="66"/>
      <c r="NOU15" s="66"/>
      <c r="NOV15" s="66"/>
      <c r="NOW15" s="66"/>
      <c r="NOX15" s="66"/>
      <c r="NOY15" s="66"/>
      <c r="NOZ15" s="66"/>
      <c r="NPA15" s="66"/>
      <c r="NPB15" s="66"/>
      <c r="NPC15" s="66"/>
      <c r="NPD15" s="66"/>
      <c r="NPE15" s="66"/>
      <c r="NPF15" s="66"/>
      <c r="NPG15" s="66"/>
      <c r="NPH15" s="66"/>
      <c r="NPI15" s="66"/>
      <c r="NPJ15" s="66"/>
      <c r="NPK15" s="66"/>
      <c r="NPL15" s="66"/>
      <c r="NPM15" s="66"/>
      <c r="NPN15" s="66"/>
      <c r="NPO15" s="66"/>
      <c r="NPP15" s="66"/>
      <c r="NPQ15" s="66"/>
      <c r="NPR15" s="66"/>
      <c r="NPS15" s="66"/>
      <c r="NPT15" s="66"/>
      <c r="NPU15" s="66"/>
      <c r="NPV15" s="66"/>
      <c r="NPW15" s="66"/>
      <c r="NPX15" s="66"/>
      <c r="NPY15" s="66"/>
      <c r="NPZ15" s="66"/>
      <c r="NQA15" s="66"/>
      <c r="NQB15" s="66"/>
      <c r="NQC15" s="66"/>
      <c r="NQD15" s="66"/>
      <c r="NQE15" s="66"/>
      <c r="NQF15" s="66"/>
      <c r="NQG15" s="66"/>
      <c r="NQH15" s="66"/>
      <c r="NQI15" s="66"/>
      <c r="NQJ15" s="66"/>
      <c r="NQK15" s="66"/>
      <c r="NQL15" s="66"/>
      <c r="NQM15" s="66"/>
      <c r="NQN15" s="66"/>
      <c r="NQO15" s="66"/>
      <c r="NQP15" s="66"/>
      <c r="NQQ15" s="66"/>
      <c r="NQR15" s="66"/>
      <c r="NQS15" s="66"/>
      <c r="NQT15" s="66"/>
      <c r="NQU15" s="66"/>
      <c r="NQV15" s="66"/>
      <c r="NQW15" s="66"/>
      <c r="NQX15" s="66"/>
      <c r="NQY15" s="66"/>
      <c r="NQZ15" s="66"/>
      <c r="NRA15" s="66"/>
      <c r="NRB15" s="66"/>
      <c r="NRC15" s="66"/>
      <c r="NRD15" s="66"/>
      <c r="NRE15" s="66"/>
      <c r="NRF15" s="66"/>
      <c r="NRG15" s="66"/>
      <c r="NRH15" s="66"/>
      <c r="NRI15" s="66"/>
      <c r="NRJ15" s="66"/>
      <c r="NRK15" s="66"/>
      <c r="NRL15" s="66"/>
      <c r="NRM15" s="66"/>
      <c r="NRN15" s="66"/>
      <c r="NRO15" s="66"/>
      <c r="NRP15" s="66"/>
      <c r="NRQ15" s="66"/>
      <c r="NRR15" s="66"/>
      <c r="NRS15" s="66"/>
      <c r="NRT15" s="66"/>
      <c r="NRU15" s="66"/>
      <c r="NRV15" s="66"/>
      <c r="NRW15" s="66"/>
      <c r="NRX15" s="66"/>
      <c r="NRY15" s="66"/>
      <c r="NRZ15" s="66"/>
      <c r="NSA15" s="66"/>
      <c r="NSB15" s="66"/>
      <c r="NSC15" s="66"/>
      <c r="NSD15" s="66"/>
      <c r="NSE15" s="66"/>
      <c r="NSF15" s="66"/>
      <c r="NSG15" s="66"/>
      <c r="NSH15" s="66"/>
      <c r="NSI15" s="66"/>
      <c r="NSJ15" s="66"/>
      <c r="NSK15" s="66"/>
      <c r="NSL15" s="66"/>
      <c r="NSM15" s="66"/>
      <c r="NSN15" s="66"/>
      <c r="NSO15" s="66"/>
      <c r="NSP15" s="66"/>
      <c r="NSQ15" s="66"/>
      <c r="NSR15" s="66"/>
      <c r="NSS15" s="66"/>
      <c r="NST15" s="66"/>
      <c r="NSU15" s="66"/>
      <c r="NSV15" s="66"/>
      <c r="NSW15" s="66"/>
      <c r="NSX15" s="66"/>
      <c r="NSY15" s="66"/>
      <c r="NSZ15" s="66"/>
      <c r="NTA15" s="66"/>
      <c r="NTB15" s="66"/>
      <c r="NTC15" s="66"/>
      <c r="NTD15" s="66"/>
      <c r="NTE15" s="66"/>
      <c r="NTF15" s="66"/>
      <c r="NTG15" s="66"/>
      <c r="NTH15" s="66"/>
      <c r="NTI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J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X15" s="66"/>
      <c r="NUY15" s="66"/>
      <c r="NUZ15" s="66"/>
      <c r="NVA15" s="66"/>
      <c r="NVB15" s="66"/>
      <c r="NVC15" s="66"/>
      <c r="NVD15" s="66"/>
      <c r="NVE15" s="66"/>
      <c r="NVF15" s="66"/>
      <c r="NVG15" s="66"/>
      <c r="NVH15" s="66"/>
      <c r="NVI15" s="66"/>
      <c r="NVJ15" s="66"/>
      <c r="NVK15" s="66"/>
      <c r="NVL15" s="66"/>
      <c r="NVM15" s="66"/>
      <c r="NVN15" s="66"/>
      <c r="NVO15" s="66"/>
      <c r="NVP15" s="66"/>
      <c r="NVQ15" s="66"/>
      <c r="NVR15" s="66"/>
      <c r="NVS15" s="66"/>
      <c r="NVT15" s="66"/>
      <c r="NVU15" s="66"/>
      <c r="NVV15" s="66"/>
      <c r="NVW15" s="66"/>
      <c r="NVX15" s="66"/>
      <c r="NVY15" s="66"/>
      <c r="NVZ15" s="66"/>
      <c r="NWA15" s="66"/>
      <c r="NWB15" s="66"/>
      <c r="NWC15" s="66"/>
      <c r="NWD15" s="66"/>
      <c r="NWE15" s="66"/>
      <c r="NWF15" s="66"/>
      <c r="NWG15" s="66"/>
      <c r="NWH15" s="66"/>
      <c r="NWI15" s="66"/>
      <c r="NWJ15" s="66"/>
      <c r="NWK15" s="66"/>
      <c r="NWL15" s="66"/>
      <c r="NWM15" s="66"/>
      <c r="NWN15" s="66"/>
      <c r="NWO15" s="66"/>
      <c r="NWP15" s="66"/>
      <c r="NWQ15" s="66"/>
      <c r="NWR15" s="66"/>
      <c r="NWS15" s="66"/>
      <c r="NWT15" s="66"/>
      <c r="NWU15" s="66"/>
      <c r="NWV15" s="66"/>
      <c r="NWW15" s="66"/>
      <c r="NWX15" s="66"/>
      <c r="NWY15" s="66"/>
      <c r="NWZ15" s="66"/>
      <c r="NXA15" s="66"/>
      <c r="NXB15" s="66"/>
      <c r="NXC15" s="66"/>
      <c r="NXD15" s="66"/>
      <c r="NXE15" s="66"/>
      <c r="NXF15" s="66"/>
      <c r="NXG15" s="66"/>
      <c r="NXH15" s="66"/>
      <c r="NXI15" s="66"/>
      <c r="NXJ15" s="66"/>
      <c r="NXK15" s="66"/>
      <c r="NXL15" s="66"/>
      <c r="NXM15" s="66"/>
      <c r="NXN15" s="66"/>
      <c r="NXO15" s="66"/>
      <c r="NXP15" s="66"/>
      <c r="NXQ15" s="66"/>
      <c r="NXR15" s="66"/>
      <c r="NXS15" s="66"/>
      <c r="NXT15" s="66"/>
      <c r="NXU15" s="66"/>
      <c r="NXV15" s="66"/>
      <c r="NXW15" s="66"/>
      <c r="NXX15" s="66"/>
      <c r="NXY15" s="66"/>
      <c r="NXZ15" s="66"/>
      <c r="NYA15" s="66"/>
      <c r="NYB15" s="66"/>
      <c r="NYC15" s="66"/>
      <c r="NYD15" s="66"/>
      <c r="NYE15" s="66"/>
      <c r="NYF15" s="66"/>
      <c r="NYG15" s="66"/>
      <c r="NYH15" s="66"/>
      <c r="NYI15" s="66"/>
      <c r="NYJ15" s="66"/>
      <c r="NYK15" s="66"/>
      <c r="NYL15" s="66"/>
      <c r="NYM15" s="66"/>
      <c r="NYN15" s="66"/>
      <c r="NYO15" s="66"/>
      <c r="NYP15" s="66"/>
      <c r="NYQ15" s="66"/>
      <c r="NYR15" s="66"/>
      <c r="NYS15" s="66"/>
      <c r="NYT15" s="66"/>
      <c r="NYU15" s="66"/>
      <c r="NYV15" s="66"/>
      <c r="NYW15" s="66"/>
      <c r="NYX15" s="66"/>
      <c r="NYY15" s="66"/>
      <c r="NYZ15" s="66"/>
      <c r="NZA15" s="66"/>
      <c r="NZB15" s="66"/>
      <c r="NZC15" s="66"/>
      <c r="NZD15" s="66"/>
      <c r="NZE15" s="66"/>
      <c r="NZF15" s="66"/>
      <c r="NZG15" s="66"/>
      <c r="NZH15" s="66"/>
      <c r="NZI15" s="66"/>
      <c r="NZJ15" s="66"/>
      <c r="NZK15" s="66"/>
      <c r="NZL15" s="66"/>
      <c r="NZM15" s="66"/>
      <c r="NZN15" s="66"/>
      <c r="NZO15" s="66"/>
      <c r="NZP15" s="66"/>
      <c r="NZQ15" s="66"/>
      <c r="NZR15" s="66"/>
      <c r="NZS15" s="66"/>
      <c r="NZT15" s="66"/>
      <c r="NZU15" s="66"/>
      <c r="NZV15" s="66"/>
      <c r="NZW15" s="66"/>
      <c r="NZX15" s="66"/>
      <c r="NZY15" s="66"/>
      <c r="NZZ15" s="66"/>
      <c r="OAA15" s="66"/>
      <c r="OAB15" s="66"/>
      <c r="OAC15" s="66"/>
      <c r="OAD15" s="66"/>
      <c r="OAE15" s="66"/>
      <c r="OAF15" s="66"/>
      <c r="OAG15" s="66"/>
      <c r="OAH15" s="66"/>
      <c r="OAI15" s="66"/>
      <c r="OAJ15" s="66"/>
      <c r="OAK15" s="66"/>
      <c r="OAL15" s="66"/>
      <c r="OAM15" s="66"/>
      <c r="OAN15" s="66"/>
      <c r="OAO15" s="66"/>
      <c r="OAP15" s="66"/>
      <c r="OAQ15" s="66"/>
      <c r="OAR15" s="66"/>
      <c r="OAS15" s="66"/>
      <c r="OAT15" s="66"/>
      <c r="OAU15" s="66"/>
      <c r="OAV15" s="66"/>
      <c r="OAW15" s="66"/>
      <c r="OAX15" s="66"/>
      <c r="OAY15" s="66"/>
      <c r="OAZ15" s="66"/>
      <c r="OBA15" s="66"/>
      <c r="OBB15" s="66"/>
      <c r="OBC15" s="66"/>
      <c r="OBD15" s="66"/>
      <c r="OBE15" s="66"/>
      <c r="OBF15" s="66"/>
      <c r="OBG15" s="66"/>
      <c r="OBH15" s="66"/>
      <c r="OBI15" s="66"/>
      <c r="OBJ15" s="66"/>
      <c r="OBK15" s="66"/>
      <c r="OBL15" s="66"/>
      <c r="OBM15" s="66"/>
      <c r="OBN15" s="66"/>
      <c r="OBO15" s="66"/>
      <c r="OBP15" s="66"/>
      <c r="OBQ15" s="66"/>
      <c r="OBR15" s="66"/>
      <c r="OBS15" s="66"/>
      <c r="OBT15" s="66"/>
      <c r="OBU15" s="66"/>
      <c r="OBV15" s="66"/>
      <c r="OBW15" s="66"/>
      <c r="OBX15" s="66"/>
      <c r="OBY15" s="66"/>
      <c r="OBZ15" s="66"/>
      <c r="OCA15" s="66"/>
      <c r="OCB15" s="66"/>
      <c r="OCC15" s="66"/>
      <c r="OCD15" s="66"/>
      <c r="OCE15" s="66"/>
      <c r="OCF15" s="66"/>
      <c r="OCG15" s="66"/>
      <c r="OCH15" s="66"/>
      <c r="OCI15" s="66"/>
      <c r="OCJ15" s="66"/>
      <c r="OCK15" s="66"/>
      <c r="OCL15" s="66"/>
      <c r="OCM15" s="66"/>
      <c r="OCN15" s="66"/>
      <c r="OCO15" s="66"/>
      <c r="OCP15" s="66"/>
      <c r="OCQ15" s="66"/>
      <c r="OCR15" s="66"/>
      <c r="OCS15" s="66"/>
      <c r="OCT15" s="66"/>
      <c r="OCU15" s="66"/>
      <c r="OCV15" s="66"/>
      <c r="OCW15" s="66"/>
      <c r="OCX15" s="66"/>
      <c r="OCY15" s="66"/>
      <c r="OCZ15" s="66"/>
      <c r="ODA15" s="66"/>
      <c r="ODB15" s="66"/>
      <c r="ODC15" s="66"/>
      <c r="ODD15" s="66"/>
      <c r="ODE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F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T15" s="66"/>
      <c r="OEU15" s="66"/>
      <c r="OEV15" s="66"/>
      <c r="OEW15" s="66"/>
      <c r="OEX15" s="66"/>
      <c r="OEY15" s="66"/>
      <c r="OEZ15" s="66"/>
      <c r="OFA15" s="66"/>
      <c r="OFB15" s="66"/>
      <c r="OFC15" s="66"/>
      <c r="OFD15" s="66"/>
      <c r="OFE15" s="66"/>
      <c r="OFF15" s="66"/>
      <c r="OFG15" s="66"/>
      <c r="OFH15" s="66"/>
      <c r="OFI15" s="66"/>
      <c r="OFJ15" s="66"/>
      <c r="OFK15" s="66"/>
      <c r="OFL15" s="66"/>
      <c r="OFM15" s="66"/>
      <c r="OFN15" s="66"/>
      <c r="OFO15" s="66"/>
      <c r="OFP15" s="66"/>
      <c r="OFQ15" s="66"/>
      <c r="OFR15" s="66"/>
      <c r="OFS15" s="66"/>
      <c r="OFT15" s="66"/>
      <c r="OFU15" s="66"/>
      <c r="OFV15" s="66"/>
      <c r="OFW15" s="66"/>
      <c r="OFX15" s="66"/>
      <c r="OFY15" s="66"/>
      <c r="OFZ15" s="66"/>
      <c r="OGA15" s="66"/>
      <c r="OGB15" s="66"/>
      <c r="OGC15" s="66"/>
      <c r="OGD15" s="66"/>
      <c r="OGE15" s="66"/>
      <c r="OGF15" s="66"/>
      <c r="OGG15" s="66"/>
      <c r="OGH15" s="66"/>
      <c r="OGI15" s="66"/>
      <c r="OGJ15" s="66"/>
      <c r="OGK15" s="66"/>
      <c r="OGL15" s="66"/>
      <c r="OGM15" s="66"/>
      <c r="OGN15" s="66"/>
      <c r="OGO15" s="66"/>
      <c r="OGP15" s="66"/>
      <c r="OGQ15" s="66"/>
      <c r="OGR15" s="66"/>
      <c r="OGS15" s="66"/>
      <c r="OGT15" s="66"/>
      <c r="OGU15" s="66"/>
      <c r="OGV15" s="66"/>
      <c r="OGW15" s="66"/>
      <c r="OGX15" s="66"/>
      <c r="OGY15" s="66"/>
      <c r="OGZ15" s="66"/>
      <c r="OHA15" s="66"/>
      <c r="OHB15" s="66"/>
      <c r="OHC15" s="66"/>
      <c r="OHD15" s="66"/>
      <c r="OHE15" s="66"/>
      <c r="OHF15" s="66"/>
      <c r="OHG15" s="66"/>
      <c r="OHH15" s="66"/>
      <c r="OHI15" s="66"/>
      <c r="OHJ15" s="66"/>
      <c r="OHK15" s="66"/>
      <c r="OHL15" s="66"/>
      <c r="OHM15" s="66"/>
      <c r="OHN15" s="66"/>
      <c r="OHO15" s="66"/>
      <c r="OHP15" s="66"/>
      <c r="OHQ15" s="66"/>
      <c r="OHR15" s="66"/>
      <c r="OHS15" s="66"/>
      <c r="OHT15" s="66"/>
      <c r="OHU15" s="66"/>
      <c r="OHV15" s="66"/>
      <c r="OHW15" s="66"/>
      <c r="OHX15" s="66"/>
      <c r="OHY15" s="66"/>
      <c r="OHZ15" s="66"/>
      <c r="OIA15" s="66"/>
      <c r="OIB15" s="66"/>
      <c r="OIC15" s="66"/>
      <c r="OID15" s="66"/>
      <c r="OIE15" s="66"/>
      <c r="OIF15" s="66"/>
      <c r="OIG15" s="66"/>
      <c r="OIH15" s="66"/>
      <c r="OII15" s="66"/>
      <c r="OIJ15" s="66"/>
      <c r="OIK15" s="66"/>
      <c r="OIL15" s="66"/>
      <c r="OIM15" s="66"/>
      <c r="OIN15" s="66"/>
      <c r="OIO15" s="66"/>
      <c r="OIP15" s="66"/>
      <c r="OIQ15" s="66"/>
      <c r="OIR15" s="66"/>
      <c r="OIS15" s="66"/>
      <c r="OIT15" s="66"/>
      <c r="OIU15" s="66"/>
      <c r="OIV15" s="66"/>
      <c r="OIW15" s="66"/>
      <c r="OIX15" s="66"/>
      <c r="OIY15" s="66"/>
      <c r="OIZ15" s="66"/>
      <c r="OJA15" s="66"/>
      <c r="OJB15" s="66"/>
      <c r="OJC15" s="66"/>
      <c r="OJD15" s="66"/>
      <c r="OJE15" s="66"/>
      <c r="OJF15" s="66"/>
      <c r="OJG15" s="66"/>
      <c r="OJH15" s="66"/>
      <c r="OJI15" s="66"/>
      <c r="OJJ15" s="66"/>
      <c r="OJK15" s="66"/>
      <c r="OJL15" s="66"/>
      <c r="OJM15" s="66"/>
      <c r="OJN15" s="66"/>
      <c r="OJO15" s="66"/>
      <c r="OJP15" s="66"/>
      <c r="OJQ15" s="66"/>
      <c r="OJR15" s="66"/>
      <c r="OJS15" s="66"/>
      <c r="OJT15" s="66"/>
      <c r="OJU15" s="66"/>
      <c r="OJV15" s="66"/>
      <c r="OJW15" s="66"/>
      <c r="OJX15" s="66"/>
      <c r="OJY15" s="66"/>
      <c r="OJZ15" s="66"/>
      <c r="OKA15" s="66"/>
      <c r="OKB15" s="66"/>
      <c r="OKC15" s="66"/>
      <c r="OKD15" s="66"/>
      <c r="OKE15" s="66"/>
      <c r="OKF15" s="66"/>
      <c r="OKG15" s="66"/>
      <c r="OKH15" s="66"/>
      <c r="OKI15" s="66"/>
      <c r="OKJ15" s="66"/>
      <c r="OKK15" s="66"/>
      <c r="OKL15" s="66"/>
      <c r="OKM15" s="66"/>
      <c r="OKN15" s="66"/>
      <c r="OKO15" s="66"/>
      <c r="OKP15" s="66"/>
      <c r="OKQ15" s="66"/>
      <c r="OKR15" s="66"/>
      <c r="OKS15" s="66"/>
      <c r="OKT15" s="66"/>
      <c r="OKU15" s="66"/>
      <c r="OKV15" s="66"/>
      <c r="OKW15" s="66"/>
      <c r="OKX15" s="66"/>
      <c r="OKY15" s="66"/>
      <c r="OKZ15" s="66"/>
      <c r="OLA15" s="66"/>
      <c r="OLB15" s="66"/>
      <c r="OLC15" s="66"/>
      <c r="OLD15" s="66"/>
      <c r="OLE15" s="66"/>
      <c r="OLF15" s="66"/>
      <c r="OLG15" s="66"/>
      <c r="OLH15" s="66"/>
      <c r="OLI15" s="66"/>
      <c r="OLJ15" s="66"/>
      <c r="OLK15" s="66"/>
      <c r="OLL15" s="66"/>
      <c r="OLM15" s="66"/>
      <c r="OLN15" s="66"/>
      <c r="OLO15" s="66"/>
      <c r="OLP15" s="66"/>
      <c r="OLQ15" s="66"/>
      <c r="OLR15" s="66"/>
      <c r="OLS15" s="66"/>
      <c r="OLT15" s="66"/>
      <c r="OLU15" s="66"/>
      <c r="OLV15" s="66"/>
      <c r="OLW15" s="66"/>
      <c r="OLX15" s="66"/>
      <c r="OLY15" s="66"/>
      <c r="OLZ15" s="66"/>
      <c r="OMA15" s="66"/>
      <c r="OMB15" s="66"/>
      <c r="OMC15" s="66"/>
      <c r="OMD15" s="66"/>
      <c r="OME15" s="66"/>
      <c r="OMF15" s="66"/>
      <c r="OMG15" s="66"/>
      <c r="OMH15" s="66"/>
      <c r="OMI15" s="66"/>
      <c r="OMJ15" s="66"/>
      <c r="OMK15" s="66"/>
      <c r="OML15" s="66"/>
      <c r="OMM15" s="66"/>
      <c r="OMN15" s="66"/>
      <c r="OMO15" s="66"/>
      <c r="OMP15" s="66"/>
      <c r="OMQ15" s="66"/>
      <c r="OMR15" s="66"/>
      <c r="OMS15" s="66"/>
      <c r="OMT15" s="66"/>
      <c r="OMU15" s="66"/>
      <c r="OMV15" s="66"/>
      <c r="OMW15" s="66"/>
      <c r="OMX15" s="66"/>
      <c r="OMY15" s="66"/>
      <c r="OMZ15" s="66"/>
      <c r="ONA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B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P15" s="66"/>
      <c r="OOQ15" s="66"/>
      <c r="OOR15" s="66"/>
      <c r="OOS15" s="66"/>
      <c r="OOT15" s="66"/>
      <c r="OOU15" s="66"/>
      <c r="OOV15" s="66"/>
      <c r="OOW15" s="66"/>
      <c r="OOX15" s="66"/>
      <c r="OOY15" s="66"/>
      <c r="OOZ15" s="66"/>
      <c r="OPA15" s="66"/>
      <c r="OPB15" s="66"/>
      <c r="OPC15" s="66"/>
      <c r="OPD15" s="66"/>
      <c r="OPE15" s="66"/>
      <c r="OPF15" s="66"/>
      <c r="OPG15" s="66"/>
      <c r="OPH15" s="66"/>
      <c r="OPI15" s="66"/>
      <c r="OPJ15" s="66"/>
      <c r="OPK15" s="66"/>
      <c r="OPL15" s="66"/>
      <c r="OPM15" s="66"/>
      <c r="OPN15" s="66"/>
      <c r="OPO15" s="66"/>
      <c r="OPP15" s="66"/>
      <c r="OPQ15" s="66"/>
      <c r="OPR15" s="66"/>
      <c r="OPS15" s="66"/>
      <c r="OPT15" s="66"/>
      <c r="OPU15" s="66"/>
      <c r="OPV15" s="66"/>
      <c r="OPW15" s="66"/>
      <c r="OPX15" s="66"/>
      <c r="OPY15" s="66"/>
      <c r="OPZ15" s="66"/>
      <c r="OQA15" s="66"/>
      <c r="OQB15" s="66"/>
      <c r="OQC15" s="66"/>
      <c r="OQD15" s="66"/>
      <c r="OQE15" s="66"/>
      <c r="OQF15" s="66"/>
      <c r="OQG15" s="66"/>
      <c r="OQH15" s="66"/>
      <c r="OQI15" s="66"/>
      <c r="OQJ15" s="66"/>
      <c r="OQK15" s="66"/>
      <c r="OQL15" s="66"/>
      <c r="OQM15" s="66"/>
      <c r="OQN15" s="66"/>
      <c r="OQO15" s="66"/>
      <c r="OQP15" s="66"/>
      <c r="OQQ15" s="66"/>
      <c r="OQR15" s="66"/>
      <c r="OQS15" s="66"/>
      <c r="OQT15" s="66"/>
      <c r="OQU15" s="66"/>
      <c r="OQV15" s="66"/>
      <c r="OQW15" s="66"/>
      <c r="OQX15" s="66"/>
      <c r="OQY15" s="66"/>
      <c r="OQZ15" s="66"/>
      <c r="ORA15" s="66"/>
      <c r="ORB15" s="66"/>
      <c r="ORC15" s="66"/>
      <c r="ORD15" s="66"/>
      <c r="ORE15" s="66"/>
      <c r="ORF15" s="66"/>
      <c r="ORG15" s="66"/>
      <c r="ORH15" s="66"/>
      <c r="ORI15" s="66"/>
      <c r="ORJ15" s="66"/>
      <c r="ORK15" s="66"/>
      <c r="ORL15" s="66"/>
      <c r="ORM15" s="66"/>
      <c r="ORN15" s="66"/>
      <c r="ORO15" s="66"/>
      <c r="ORP15" s="66"/>
      <c r="ORQ15" s="66"/>
      <c r="ORR15" s="66"/>
      <c r="ORS15" s="66"/>
      <c r="ORT15" s="66"/>
      <c r="ORU15" s="66"/>
      <c r="ORV15" s="66"/>
      <c r="ORW15" s="66"/>
      <c r="ORX15" s="66"/>
      <c r="ORY15" s="66"/>
      <c r="ORZ15" s="66"/>
      <c r="OSA15" s="66"/>
      <c r="OSB15" s="66"/>
      <c r="OSC15" s="66"/>
      <c r="OSD15" s="66"/>
      <c r="OSE15" s="66"/>
      <c r="OSF15" s="66"/>
      <c r="OSG15" s="66"/>
      <c r="OSH15" s="66"/>
      <c r="OSI15" s="66"/>
      <c r="OSJ15" s="66"/>
      <c r="OSK15" s="66"/>
      <c r="OSL15" s="66"/>
      <c r="OSM15" s="66"/>
      <c r="OSN15" s="66"/>
      <c r="OSO15" s="66"/>
      <c r="OSP15" s="66"/>
      <c r="OSQ15" s="66"/>
      <c r="OSR15" s="66"/>
      <c r="OSS15" s="66"/>
      <c r="OST15" s="66"/>
      <c r="OSU15" s="66"/>
      <c r="OSV15" s="66"/>
      <c r="OSW15" s="66"/>
      <c r="OSX15" s="66"/>
      <c r="OSY15" s="66"/>
      <c r="OSZ15" s="66"/>
      <c r="OTA15" s="66"/>
      <c r="OTB15" s="66"/>
      <c r="OTC15" s="66"/>
      <c r="OTD15" s="66"/>
      <c r="OTE15" s="66"/>
      <c r="OTF15" s="66"/>
      <c r="OTG15" s="66"/>
      <c r="OTH15" s="66"/>
      <c r="OTI15" s="66"/>
      <c r="OTJ15" s="66"/>
      <c r="OTK15" s="66"/>
      <c r="OTL15" s="66"/>
      <c r="OTM15" s="66"/>
      <c r="OTN15" s="66"/>
      <c r="OTO15" s="66"/>
      <c r="OTP15" s="66"/>
      <c r="OTQ15" s="66"/>
      <c r="OTR15" s="66"/>
      <c r="OTS15" s="66"/>
      <c r="OTT15" s="66"/>
      <c r="OTU15" s="66"/>
      <c r="OTV15" s="66"/>
      <c r="OTW15" s="66"/>
      <c r="OTX15" s="66"/>
      <c r="OTY15" s="66"/>
      <c r="OTZ15" s="66"/>
      <c r="OUA15" s="66"/>
      <c r="OUB15" s="66"/>
      <c r="OUC15" s="66"/>
      <c r="OUD15" s="66"/>
      <c r="OUE15" s="66"/>
      <c r="OUF15" s="66"/>
      <c r="OUG15" s="66"/>
      <c r="OUH15" s="66"/>
      <c r="OUI15" s="66"/>
      <c r="OUJ15" s="66"/>
      <c r="OUK15" s="66"/>
      <c r="OUL15" s="66"/>
      <c r="OUM15" s="66"/>
      <c r="OUN15" s="66"/>
      <c r="OUO15" s="66"/>
      <c r="OUP15" s="66"/>
      <c r="OUQ15" s="66"/>
      <c r="OUR15" s="66"/>
      <c r="OUS15" s="66"/>
      <c r="OUT15" s="66"/>
      <c r="OUU15" s="66"/>
      <c r="OUV15" s="66"/>
      <c r="OUW15" s="66"/>
      <c r="OUX15" s="66"/>
      <c r="OUY15" s="66"/>
      <c r="OUZ15" s="66"/>
      <c r="OVA15" s="66"/>
      <c r="OVB15" s="66"/>
      <c r="OVC15" s="66"/>
      <c r="OVD15" s="66"/>
      <c r="OVE15" s="66"/>
      <c r="OVF15" s="66"/>
      <c r="OVG15" s="66"/>
      <c r="OVH15" s="66"/>
      <c r="OVI15" s="66"/>
      <c r="OVJ15" s="66"/>
      <c r="OVK15" s="66"/>
      <c r="OVL15" s="66"/>
      <c r="OVM15" s="66"/>
      <c r="OVN15" s="66"/>
      <c r="OVO15" s="66"/>
      <c r="OVP15" s="66"/>
      <c r="OVQ15" s="66"/>
      <c r="OVR15" s="66"/>
      <c r="OVS15" s="66"/>
      <c r="OVT15" s="66"/>
      <c r="OVU15" s="66"/>
      <c r="OVV15" s="66"/>
      <c r="OVW15" s="66"/>
      <c r="OVX15" s="66"/>
      <c r="OVY15" s="66"/>
      <c r="OVZ15" s="66"/>
      <c r="OWA15" s="66"/>
      <c r="OWB15" s="66"/>
      <c r="OWC15" s="66"/>
      <c r="OWD15" s="66"/>
      <c r="OWE15" s="66"/>
      <c r="OWF15" s="66"/>
      <c r="OWG15" s="66"/>
      <c r="OWH15" s="66"/>
      <c r="OWI15" s="66"/>
      <c r="OWJ15" s="66"/>
      <c r="OWK15" s="66"/>
      <c r="OWL15" s="66"/>
      <c r="OWM15" s="66"/>
      <c r="OWN15" s="66"/>
      <c r="OWO15" s="66"/>
      <c r="OWP15" s="66"/>
      <c r="OWQ15" s="66"/>
      <c r="OWR15" s="66"/>
      <c r="OWS15" s="66"/>
      <c r="OWT15" s="66"/>
      <c r="OWU15" s="66"/>
      <c r="OWV15" s="66"/>
      <c r="OWW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X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L15" s="66"/>
      <c r="OYM15" s="66"/>
      <c r="OYN15" s="66"/>
      <c r="OYO15" s="66"/>
      <c r="OYP15" s="66"/>
      <c r="OYQ15" s="66"/>
      <c r="OYR15" s="66"/>
      <c r="OYS15" s="66"/>
      <c r="OYT15" s="66"/>
      <c r="OYU15" s="66"/>
      <c r="OYV15" s="66"/>
      <c r="OYW15" s="66"/>
      <c r="OYX15" s="66"/>
      <c r="OYY15" s="66"/>
      <c r="OYZ15" s="66"/>
      <c r="OZA15" s="66"/>
      <c r="OZB15" s="66"/>
      <c r="OZC15" s="66"/>
      <c r="OZD15" s="66"/>
      <c r="OZE15" s="66"/>
      <c r="OZF15" s="66"/>
      <c r="OZG15" s="66"/>
      <c r="OZH15" s="66"/>
      <c r="OZI15" s="66"/>
      <c r="OZJ15" s="66"/>
      <c r="OZK15" s="66"/>
      <c r="OZL15" s="66"/>
      <c r="OZM15" s="66"/>
      <c r="OZN15" s="66"/>
      <c r="OZO15" s="66"/>
      <c r="OZP15" s="66"/>
      <c r="OZQ15" s="66"/>
      <c r="OZR15" s="66"/>
      <c r="OZS15" s="66"/>
      <c r="OZT15" s="66"/>
      <c r="OZU15" s="66"/>
      <c r="OZV15" s="66"/>
      <c r="OZW15" s="66"/>
      <c r="OZX15" s="66"/>
      <c r="OZY15" s="66"/>
      <c r="OZZ15" s="66"/>
      <c r="PAA15" s="66"/>
      <c r="PAB15" s="66"/>
      <c r="PAC15" s="66"/>
      <c r="PAD15" s="66"/>
      <c r="PAE15" s="66"/>
      <c r="PAF15" s="66"/>
      <c r="PAG15" s="66"/>
      <c r="PAH15" s="66"/>
      <c r="PAI15" s="66"/>
      <c r="PAJ15" s="66"/>
      <c r="PAK15" s="66"/>
      <c r="PAL15" s="66"/>
      <c r="PAM15" s="66"/>
      <c r="PAN15" s="66"/>
      <c r="PAO15" s="66"/>
      <c r="PAP15" s="66"/>
      <c r="PAQ15" s="66"/>
      <c r="PAR15" s="66"/>
      <c r="PAS15" s="66"/>
      <c r="PAT15" s="66"/>
      <c r="PAU15" s="66"/>
      <c r="PAV15" s="66"/>
      <c r="PAW15" s="66"/>
      <c r="PAX15" s="66"/>
      <c r="PAY15" s="66"/>
      <c r="PAZ15" s="66"/>
      <c r="PBA15" s="66"/>
      <c r="PBB15" s="66"/>
      <c r="PBC15" s="66"/>
      <c r="PBD15" s="66"/>
      <c r="PBE15" s="66"/>
      <c r="PBF15" s="66"/>
      <c r="PBG15" s="66"/>
      <c r="PBH15" s="66"/>
      <c r="PBI15" s="66"/>
      <c r="PBJ15" s="66"/>
      <c r="PBK15" s="66"/>
      <c r="PBL15" s="66"/>
      <c r="PBM15" s="66"/>
      <c r="PBN15" s="66"/>
      <c r="PBO15" s="66"/>
      <c r="PBP15" s="66"/>
      <c r="PBQ15" s="66"/>
      <c r="PBR15" s="66"/>
      <c r="PBS15" s="66"/>
      <c r="PBT15" s="66"/>
      <c r="PBU15" s="66"/>
      <c r="PBV15" s="66"/>
      <c r="PBW15" s="66"/>
      <c r="PBX15" s="66"/>
      <c r="PBY15" s="66"/>
      <c r="PBZ15" s="66"/>
      <c r="PCA15" s="66"/>
      <c r="PCB15" s="66"/>
      <c r="PCC15" s="66"/>
      <c r="PCD15" s="66"/>
      <c r="PCE15" s="66"/>
      <c r="PCF15" s="66"/>
      <c r="PCG15" s="66"/>
      <c r="PCH15" s="66"/>
      <c r="PCI15" s="66"/>
      <c r="PCJ15" s="66"/>
      <c r="PCK15" s="66"/>
      <c r="PCL15" s="66"/>
      <c r="PCM15" s="66"/>
      <c r="PCN15" s="66"/>
      <c r="PCO15" s="66"/>
      <c r="PCP15" s="66"/>
      <c r="PCQ15" s="66"/>
      <c r="PCR15" s="66"/>
      <c r="PCS15" s="66"/>
      <c r="PCT15" s="66"/>
      <c r="PCU15" s="66"/>
      <c r="PCV15" s="66"/>
      <c r="PCW15" s="66"/>
      <c r="PCX15" s="66"/>
      <c r="PCY15" s="66"/>
      <c r="PCZ15" s="66"/>
      <c r="PDA15" s="66"/>
      <c r="PDB15" s="66"/>
      <c r="PDC15" s="66"/>
      <c r="PDD15" s="66"/>
      <c r="PDE15" s="66"/>
      <c r="PDF15" s="66"/>
      <c r="PDG15" s="66"/>
      <c r="PDH15" s="66"/>
      <c r="PDI15" s="66"/>
      <c r="PDJ15" s="66"/>
      <c r="PDK15" s="66"/>
      <c r="PDL15" s="66"/>
      <c r="PDM15" s="66"/>
      <c r="PDN15" s="66"/>
      <c r="PDO15" s="66"/>
      <c r="PDP15" s="66"/>
      <c r="PDQ15" s="66"/>
      <c r="PDR15" s="66"/>
      <c r="PDS15" s="66"/>
      <c r="PDT15" s="66"/>
      <c r="PDU15" s="66"/>
      <c r="PDV15" s="66"/>
      <c r="PDW15" s="66"/>
      <c r="PDX15" s="66"/>
      <c r="PDY15" s="66"/>
      <c r="PDZ15" s="66"/>
      <c r="PEA15" s="66"/>
      <c r="PEB15" s="66"/>
      <c r="PEC15" s="66"/>
      <c r="PED15" s="66"/>
      <c r="PEE15" s="66"/>
      <c r="PEF15" s="66"/>
      <c r="PEG15" s="66"/>
      <c r="PEH15" s="66"/>
      <c r="PEI15" s="66"/>
      <c r="PEJ15" s="66"/>
      <c r="PEK15" s="66"/>
      <c r="PEL15" s="66"/>
      <c r="PEM15" s="66"/>
      <c r="PEN15" s="66"/>
      <c r="PEO15" s="66"/>
      <c r="PEP15" s="66"/>
      <c r="PEQ15" s="66"/>
      <c r="PER15" s="66"/>
      <c r="PES15" s="66"/>
      <c r="PET15" s="66"/>
      <c r="PEU15" s="66"/>
      <c r="PEV15" s="66"/>
      <c r="PEW15" s="66"/>
      <c r="PEX15" s="66"/>
      <c r="PEY15" s="66"/>
      <c r="PEZ15" s="66"/>
      <c r="PFA15" s="66"/>
      <c r="PFB15" s="66"/>
      <c r="PFC15" s="66"/>
      <c r="PFD15" s="66"/>
      <c r="PFE15" s="66"/>
      <c r="PFF15" s="66"/>
      <c r="PFG15" s="66"/>
      <c r="PFH15" s="66"/>
      <c r="PFI15" s="66"/>
      <c r="PFJ15" s="66"/>
      <c r="PFK15" s="66"/>
      <c r="PFL15" s="66"/>
      <c r="PFM15" s="66"/>
      <c r="PFN15" s="66"/>
      <c r="PFO15" s="66"/>
      <c r="PFP15" s="66"/>
      <c r="PFQ15" s="66"/>
      <c r="PFR15" s="66"/>
      <c r="PFS15" s="66"/>
      <c r="PFT15" s="66"/>
      <c r="PFU15" s="66"/>
      <c r="PFV15" s="66"/>
      <c r="PFW15" s="66"/>
      <c r="PFX15" s="66"/>
      <c r="PFY15" s="66"/>
      <c r="PFZ15" s="66"/>
      <c r="PGA15" s="66"/>
      <c r="PGB15" s="66"/>
      <c r="PGC15" s="66"/>
      <c r="PGD15" s="66"/>
      <c r="PGE15" s="66"/>
      <c r="PGF15" s="66"/>
      <c r="PGG15" s="66"/>
      <c r="PGH15" s="66"/>
      <c r="PGI15" s="66"/>
      <c r="PGJ15" s="66"/>
      <c r="PGK15" s="66"/>
      <c r="PGL15" s="66"/>
      <c r="PGM15" s="66"/>
      <c r="PGN15" s="66"/>
      <c r="PGO15" s="66"/>
      <c r="PGP15" s="66"/>
      <c r="PGQ15" s="66"/>
      <c r="PGR15" s="66"/>
      <c r="PGS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T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H15" s="66"/>
      <c r="PII15" s="66"/>
      <c r="PIJ15" s="66"/>
      <c r="PIK15" s="66"/>
      <c r="PIL15" s="66"/>
      <c r="PIM15" s="66"/>
      <c r="PIN15" s="66"/>
      <c r="PIO15" s="66"/>
      <c r="PIP15" s="66"/>
      <c r="PIQ15" s="66"/>
      <c r="PIR15" s="66"/>
      <c r="PIS15" s="66"/>
      <c r="PIT15" s="66"/>
      <c r="PIU15" s="66"/>
      <c r="PIV15" s="66"/>
      <c r="PIW15" s="66"/>
      <c r="PIX15" s="66"/>
      <c r="PIY15" s="66"/>
      <c r="PIZ15" s="66"/>
      <c r="PJA15" s="66"/>
      <c r="PJB15" s="66"/>
      <c r="PJC15" s="66"/>
      <c r="PJD15" s="66"/>
      <c r="PJE15" s="66"/>
      <c r="PJF15" s="66"/>
      <c r="PJG15" s="66"/>
      <c r="PJH15" s="66"/>
      <c r="PJI15" s="66"/>
      <c r="PJJ15" s="66"/>
      <c r="PJK15" s="66"/>
      <c r="PJL15" s="66"/>
      <c r="PJM15" s="66"/>
      <c r="PJN15" s="66"/>
      <c r="PJO15" s="66"/>
      <c r="PJP15" s="66"/>
      <c r="PJQ15" s="66"/>
      <c r="PJR15" s="66"/>
      <c r="PJS15" s="66"/>
      <c r="PJT15" s="66"/>
      <c r="PJU15" s="66"/>
      <c r="PJV15" s="66"/>
      <c r="PJW15" s="66"/>
      <c r="PJX15" s="66"/>
      <c r="PJY15" s="66"/>
      <c r="PJZ15" s="66"/>
      <c r="PKA15" s="66"/>
      <c r="PKB15" s="66"/>
      <c r="PKC15" s="66"/>
      <c r="PKD15" s="66"/>
      <c r="PKE15" s="66"/>
      <c r="PKF15" s="66"/>
      <c r="PKG15" s="66"/>
      <c r="PKH15" s="66"/>
      <c r="PKI15" s="66"/>
      <c r="PKJ15" s="66"/>
      <c r="PKK15" s="66"/>
      <c r="PKL15" s="66"/>
      <c r="PKM15" s="66"/>
      <c r="PKN15" s="66"/>
      <c r="PKO15" s="66"/>
      <c r="PKP15" s="66"/>
      <c r="PKQ15" s="66"/>
      <c r="PKR15" s="66"/>
      <c r="PKS15" s="66"/>
      <c r="PKT15" s="66"/>
      <c r="PKU15" s="66"/>
      <c r="PKV15" s="66"/>
      <c r="PKW15" s="66"/>
      <c r="PKX15" s="66"/>
      <c r="PKY15" s="66"/>
      <c r="PKZ15" s="66"/>
      <c r="PLA15" s="66"/>
      <c r="PLB15" s="66"/>
      <c r="PLC15" s="66"/>
      <c r="PLD15" s="66"/>
      <c r="PLE15" s="66"/>
      <c r="PLF15" s="66"/>
      <c r="PLG15" s="66"/>
      <c r="PLH15" s="66"/>
      <c r="PLI15" s="66"/>
      <c r="PLJ15" s="66"/>
      <c r="PLK15" s="66"/>
      <c r="PLL15" s="66"/>
      <c r="PLM15" s="66"/>
      <c r="PLN15" s="66"/>
      <c r="PLO15" s="66"/>
      <c r="PLP15" s="66"/>
      <c r="PLQ15" s="66"/>
      <c r="PLR15" s="66"/>
      <c r="PLS15" s="66"/>
      <c r="PLT15" s="66"/>
      <c r="PLU15" s="66"/>
      <c r="PLV15" s="66"/>
      <c r="PLW15" s="66"/>
      <c r="PLX15" s="66"/>
      <c r="PLY15" s="66"/>
      <c r="PLZ15" s="66"/>
      <c r="PMA15" s="66"/>
      <c r="PMB15" s="66"/>
      <c r="PMC15" s="66"/>
      <c r="PMD15" s="66"/>
      <c r="PME15" s="66"/>
      <c r="PMF15" s="66"/>
      <c r="PMG15" s="66"/>
      <c r="PMH15" s="66"/>
      <c r="PMI15" s="66"/>
      <c r="PMJ15" s="66"/>
      <c r="PMK15" s="66"/>
      <c r="PML15" s="66"/>
      <c r="PMM15" s="66"/>
      <c r="PMN15" s="66"/>
      <c r="PMO15" s="66"/>
      <c r="PMP15" s="66"/>
      <c r="PMQ15" s="66"/>
      <c r="PMR15" s="66"/>
      <c r="PMS15" s="66"/>
      <c r="PMT15" s="66"/>
      <c r="PMU15" s="66"/>
      <c r="PMV15" s="66"/>
      <c r="PMW15" s="66"/>
      <c r="PMX15" s="66"/>
      <c r="PMY15" s="66"/>
      <c r="PMZ15" s="66"/>
      <c r="PNA15" s="66"/>
      <c r="PNB15" s="66"/>
      <c r="PNC15" s="66"/>
      <c r="PND15" s="66"/>
      <c r="PNE15" s="66"/>
      <c r="PNF15" s="66"/>
      <c r="PNG15" s="66"/>
      <c r="PNH15" s="66"/>
      <c r="PNI15" s="66"/>
      <c r="PNJ15" s="66"/>
      <c r="PNK15" s="66"/>
      <c r="PNL15" s="66"/>
      <c r="PNM15" s="66"/>
      <c r="PNN15" s="66"/>
      <c r="PNO15" s="66"/>
      <c r="PNP15" s="66"/>
      <c r="PNQ15" s="66"/>
      <c r="PNR15" s="66"/>
      <c r="PNS15" s="66"/>
      <c r="PNT15" s="66"/>
      <c r="PNU15" s="66"/>
      <c r="PNV15" s="66"/>
      <c r="PNW15" s="66"/>
      <c r="PNX15" s="66"/>
      <c r="PNY15" s="66"/>
      <c r="PNZ15" s="66"/>
      <c r="POA15" s="66"/>
      <c r="POB15" s="66"/>
      <c r="POC15" s="66"/>
      <c r="POD15" s="66"/>
      <c r="POE15" s="66"/>
      <c r="POF15" s="66"/>
      <c r="POG15" s="66"/>
      <c r="POH15" s="66"/>
      <c r="POI15" s="66"/>
      <c r="POJ15" s="66"/>
      <c r="POK15" s="66"/>
      <c r="POL15" s="66"/>
      <c r="POM15" s="66"/>
      <c r="PON15" s="66"/>
      <c r="POO15" s="66"/>
      <c r="POP15" s="66"/>
      <c r="POQ15" s="66"/>
      <c r="POR15" s="66"/>
      <c r="POS15" s="66"/>
      <c r="POT15" s="66"/>
      <c r="POU15" s="66"/>
      <c r="POV15" s="66"/>
      <c r="POW15" s="66"/>
      <c r="POX15" s="66"/>
      <c r="POY15" s="66"/>
      <c r="POZ15" s="66"/>
      <c r="PPA15" s="66"/>
      <c r="PPB15" s="66"/>
      <c r="PPC15" s="66"/>
      <c r="PPD15" s="66"/>
      <c r="PPE15" s="66"/>
      <c r="PPF15" s="66"/>
      <c r="PPG15" s="66"/>
      <c r="PPH15" s="66"/>
      <c r="PPI15" s="66"/>
      <c r="PPJ15" s="66"/>
      <c r="PPK15" s="66"/>
      <c r="PPL15" s="66"/>
      <c r="PPM15" s="66"/>
      <c r="PPN15" s="66"/>
      <c r="PPO15" s="66"/>
      <c r="PPP15" s="66"/>
      <c r="PPQ15" s="66"/>
      <c r="PPR15" s="66"/>
      <c r="PPS15" s="66"/>
      <c r="PPT15" s="66"/>
      <c r="PPU15" s="66"/>
      <c r="PPV15" s="66"/>
      <c r="PPW15" s="66"/>
      <c r="PPX15" s="66"/>
      <c r="PPY15" s="66"/>
      <c r="PPZ15" s="66"/>
      <c r="PQA15" s="66"/>
      <c r="PQB15" s="66"/>
      <c r="PQC15" s="66"/>
      <c r="PQD15" s="66"/>
      <c r="PQE15" s="66"/>
      <c r="PQF15" s="66"/>
      <c r="PQG15" s="66"/>
      <c r="PQH15" s="66"/>
      <c r="PQI15" s="66"/>
      <c r="PQJ15" s="66"/>
      <c r="PQK15" s="66"/>
      <c r="PQL15" s="66"/>
      <c r="PQM15" s="66"/>
      <c r="PQN15" s="66"/>
      <c r="PQO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P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D15" s="66"/>
      <c r="PSE15" s="66"/>
      <c r="PSF15" s="66"/>
      <c r="PSG15" s="66"/>
      <c r="PSH15" s="66"/>
      <c r="PSI15" s="66"/>
      <c r="PSJ15" s="66"/>
      <c r="PSK15" s="66"/>
      <c r="PSL15" s="66"/>
      <c r="PSM15" s="66"/>
      <c r="PSN15" s="66"/>
      <c r="PSO15" s="66"/>
      <c r="PSP15" s="66"/>
      <c r="PSQ15" s="66"/>
      <c r="PSR15" s="66"/>
      <c r="PSS15" s="66"/>
      <c r="PST15" s="66"/>
      <c r="PSU15" s="66"/>
      <c r="PSV15" s="66"/>
      <c r="PSW15" s="66"/>
      <c r="PSX15" s="66"/>
      <c r="PSY15" s="66"/>
      <c r="PSZ15" s="66"/>
      <c r="PTA15" s="66"/>
      <c r="PTB15" s="66"/>
      <c r="PTC15" s="66"/>
      <c r="PTD15" s="66"/>
      <c r="PTE15" s="66"/>
      <c r="PTF15" s="66"/>
      <c r="PTG15" s="66"/>
      <c r="PTH15" s="66"/>
      <c r="PTI15" s="66"/>
      <c r="PTJ15" s="66"/>
      <c r="PTK15" s="66"/>
      <c r="PTL15" s="66"/>
      <c r="PTM15" s="66"/>
      <c r="PTN15" s="66"/>
      <c r="PTO15" s="66"/>
      <c r="PTP15" s="66"/>
      <c r="PTQ15" s="66"/>
      <c r="PTR15" s="66"/>
      <c r="PTS15" s="66"/>
      <c r="PTT15" s="66"/>
      <c r="PTU15" s="66"/>
      <c r="PTV15" s="66"/>
      <c r="PTW15" s="66"/>
      <c r="PTX15" s="66"/>
      <c r="PTY15" s="66"/>
      <c r="PTZ15" s="66"/>
      <c r="PUA15" s="66"/>
      <c r="PUB15" s="66"/>
      <c r="PUC15" s="66"/>
      <c r="PUD15" s="66"/>
      <c r="PUE15" s="66"/>
      <c r="PUF15" s="66"/>
      <c r="PUG15" s="66"/>
      <c r="PUH15" s="66"/>
      <c r="PUI15" s="66"/>
      <c r="PUJ15" s="66"/>
      <c r="PUK15" s="66"/>
      <c r="PUL15" s="66"/>
      <c r="PUM15" s="66"/>
      <c r="PUN15" s="66"/>
      <c r="PUO15" s="66"/>
      <c r="PUP15" s="66"/>
      <c r="PUQ15" s="66"/>
      <c r="PUR15" s="66"/>
      <c r="PUS15" s="66"/>
      <c r="PUT15" s="66"/>
      <c r="PUU15" s="66"/>
      <c r="PUV15" s="66"/>
      <c r="PUW15" s="66"/>
      <c r="PUX15" s="66"/>
      <c r="PUY15" s="66"/>
      <c r="PUZ15" s="66"/>
      <c r="PVA15" s="66"/>
      <c r="PVB15" s="66"/>
      <c r="PVC15" s="66"/>
      <c r="PVD15" s="66"/>
      <c r="PVE15" s="66"/>
      <c r="PVF15" s="66"/>
      <c r="PVG15" s="66"/>
      <c r="PVH15" s="66"/>
      <c r="PVI15" s="66"/>
      <c r="PVJ15" s="66"/>
      <c r="PVK15" s="66"/>
      <c r="PVL15" s="66"/>
      <c r="PVM15" s="66"/>
      <c r="PVN15" s="66"/>
      <c r="PVO15" s="66"/>
      <c r="PVP15" s="66"/>
      <c r="PVQ15" s="66"/>
      <c r="PVR15" s="66"/>
      <c r="PVS15" s="66"/>
      <c r="PVT15" s="66"/>
      <c r="PVU15" s="66"/>
      <c r="PVV15" s="66"/>
      <c r="PVW15" s="66"/>
      <c r="PVX15" s="66"/>
      <c r="PVY15" s="66"/>
      <c r="PVZ15" s="66"/>
      <c r="PWA15" s="66"/>
      <c r="PWB15" s="66"/>
      <c r="PWC15" s="66"/>
      <c r="PWD15" s="66"/>
      <c r="PWE15" s="66"/>
      <c r="PWF15" s="66"/>
      <c r="PWG15" s="66"/>
      <c r="PWH15" s="66"/>
      <c r="PWI15" s="66"/>
      <c r="PWJ15" s="66"/>
      <c r="PWK15" s="66"/>
      <c r="PWL15" s="66"/>
      <c r="PWM15" s="66"/>
      <c r="PWN15" s="66"/>
      <c r="PWO15" s="66"/>
      <c r="PWP15" s="66"/>
      <c r="PWQ15" s="66"/>
      <c r="PWR15" s="66"/>
      <c r="PWS15" s="66"/>
      <c r="PWT15" s="66"/>
      <c r="PWU15" s="66"/>
      <c r="PWV15" s="66"/>
      <c r="PWW15" s="66"/>
      <c r="PWX15" s="66"/>
      <c r="PWY15" s="66"/>
      <c r="PWZ15" s="66"/>
      <c r="PXA15" s="66"/>
      <c r="PXB15" s="66"/>
      <c r="PXC15" s="66"/>
      <c r="PXD15" s="66"/>
      <c r="PXE15" s="66"/>
      <c r="PXF15" s="66"/>
      <c r="PXG15" s="66"/>
      <c r="PXH15" s="66"/>
      <c r="PXI15" s="66"/>
      <c r="PXJ15" s="66"/>
      <c r="PXK15" s="66"/>
      <c r="PXL15" s="66"/>
      <c r="PXM15" s="66"/>
      <c r="PXN15" s="66"/>
      <c r="PXO15" s="66"/>
      <c r="PXP15" s="66"/>
      <c r="PXQ15" s="66"/>
      <c r="PXR15" s="66"/>
      <c r="PXS15" s="66"/>
      <c r="PXT15" s="66"/>
      <c r="PXU15" s="66"/>
      <c r="PXV15" s="66"/>
      <c r="PXW15" s="66"/>
      <c r="PXX15" s="66"/>
      <c r="PXY15" s="66"/>
      <c r="PXZ15" s="66"/>
      <c r="PYA15" s="66"/>
      <c r="PYB15" s="66"/>
      <c r="PYC15" s="66"/>
      <c r="PYD15" s="66"/>
      <c r="PYE15" s="66"/>
      <c r="PYF15" s="66"/>
      <c r="PYG15" s="66"/>
      <c r="PYH15" s="66"/>
      <c r="PYI15" s="66"/>
      <c r="PYJ15" s="66"/>
      <c r="PYK15" s="66"/>
      <c r="PYL15" s="66"/>
      <c r="PYM15" s="66"/>
      <c r="PYN15" s="66"/>
      <c r="PYO15" s="66"/>
      <c r="PYP15" s="66"/>
      <c r="PYQ15" s="66"/>
      <c r="PYR15" s="66"/>
      <c r="PYS15" s="66"/>
      <c r="PYT15" s="66"/>
      <c r="PYU15" s="66"/>
      <c r="PYV15" s="66"/>
      <c r="PYW15" s="66"/>
      <c r="PYX15" s="66"/>
      <c r="PYY15" s="66"/>
      <c r="PYZ15" s="66"/>
      <c r="PZA15" s="66"/>
      <c r="PZB15" s="66"/>
      <c r="PZC15" s="66"/>
      <c r="PZD15" s="66"/>
      <c r="PZE15" s="66"/>
      <c r="PZF15" s="66"/>
      <c r="PZG15" s="66"/>
      <c r="PZH15" s="66"/>
      <c r="PZI15" s="66"/>
      <c r="PZJ15" s="66"/>
      <c r="PZK15" s="66"/>
      <c r="PZL15" s="66"/>
      <c r="PZM15" s="66"/>
      <c r="PZN15" s="66"/>
      <c r="PZO15" s="66"/>
      <c r="PZP15" s="66"/>
      <c r="PZQ15" s="66"/>
      <c r="PZR15" s="66"/>
      <c r="PZS15" s="66"/>
      <c r="PZT15" s="66"/>
      <c r="PZU15" s="66"/>
      <c r="PZV15" s="66"/>
      <c r="PZW15" s="66"/>
      <c r="PZX15" s="66"/>
      <c r="PZY15" s="66"/>
      <c r="PZZ15" s="66"/>
      <c r="QAA15" s="66"/>
      <c r="QAB15" s="66"/>
      <c r="QAC15" s="66"/>
      <c r="QAD15" s="66"/>
      <c r="QAE15" s="66"/>
      <c r="QAF15" s="66"/>
      <c r="QAG15" s="66"/>
      <c r="QAH15" s="66"/>
      <c r="QAI15" s="66"/>
      <c r="QAJ15" s="66"/>
      <c r="QAK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L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BZ15" s="66"/>
      <c r="QCA15" s="66"/>
      <c r="QCB15" s="66"/>
      <c r="QCC15" s="66"/>
      <c r="QCD15" s="66"/>
      <c r="QCE15" s="66"/>
      <c r="QCF15" s="66"/>
      <c r="QCG15" s="66"/>
      <c r="QCH15" s="66"/>
      <c r="QCI15" s="66"/>
      <c r="QCJ15" s="66"/>
      <c r="QCK15" s="66"/>
      <c r="QCL15" s="66"/>
      <c r="QCM15" s="66"/>
      <c r="QCN15" s="66"/>
      <c r="QCO15" s="66"/>
      <c r="QCP15" s="66"/>
      <c r="QCQ15" s="66"/>
      <c r="QCR15" s="66"/>
      <c r="QCS15" s="66"/>
      <c r="QCT15" s="66"/>
      <c r="QCU15" s="66"/>
      <c r="QCV15" s="66"/>
      <c r="QCW15" s="66"/>
      <c r="QCX15" s="66"/>
      <c r="QCY15" s="66"/>
      <c r="QCZ15" s="66"/>
      <c r="QDA15" s="66"/>
      <c r="QDB15" s="66"/>
      <c r="QDC15" s="66"/>
      <c r="QDD15" s="66"/>
      <c r="QDE15" s="66"/>
      <c r="QDF15" s="66"/>
      <c r="QDG15" s="66"/>
      <c r="QDH15" s="66"/>
      <c r="QDI15" s="66"/>
      <c r="QDJ15" s="66"/>
      <c r="QDK15" s="66"/>
      <c r="QDL15" s="66"/>
      <c r="QDM15" s="66"/>
      <c r="QDN15" s="66"/>
      <c r="QDO15" s="66"/>
      <c r="QDP15" s="66"/>
      <c r="QDQ15" s="66"/>
      <c r="QDR15" s="66"/>
      <c r="QDS15" s="66"/>
      <c r="QDT15" s="66"/>
      <c r="QDU15" s="66"/>
      <c r="QDV15" s="66"/>
      <c r="QDW15" s="66"/>
      <c r="QDX15" s="66"/>
      <c r="QDY15" s="66"/>
      <c r="QDZ15" s="66"/>
      <c r="QEA15" s="66"/>
      <c r="QEB15" s="66"/>
      <c r="QEC15" s="66"/>
      <c r="QED15" s="66"/>
      <c r="QEE15" s="66"/>
      <c r="QEF15" s="66"/>
      <c r="QEG15" s="66"/>
      <c r="QEH15" s="66"/>
      <c r="QEI15" s="66"/>
      <c r="QEJ15" s="66"/>
      <c r="QEK15" s="66"/>
      <c r="QEL15" s="66"/>
      <c r="QEM15" s="66"/>
      <c r="QEN15" s="66"/>
      <c r="QEO15" s="66"/>
      <c r="QEP15" s="66"/>
      <c r="QEQ15" s="66"/>
      <c r="QER15" s="66"/>
      <c r="QES15" s="66"/>
      <c r="QET15" s="66"/>
      <c r="QEU15" s="66"/>
      <c r="QEV15" s="66"/>
      <c r="QEW15" s="66"/>
      <c r="QEX15" s="66"/>
      <c r="QEY15" s="66"/>
      <c r="QEZ15" s="66"/>
      <c r="QFA15" s="66"/>
      <c r="QFB15" s="66"/>
      <c r="QFC15" s="66"/>
      <c r="QFD15" s="66"/>
      <c r="QFE15" s="66"/>
      <c r="QFF15" s="66"/>
      <c r="QFG15" s="66"/>
      <c r="QFH15" s="66"/>
      <c r="QFI15" s="66"/>
      <c r="QFJ15" s="66"/>
      <c r="QFK15" s="66"/>
      <c r="QFL15" s="66"/>
      <c r="QFM15" s="66"/>
      <c r="QFN15" s="66"/>
      <c r="QFO15" s="66"/>
      <c r="QFP15" s="66"/>
      <c r="QFQ15" s="66"/>
      <c r="QFR15" s="66"/>
      <c r="QFS15" s="66"/>
      <c r="QFT15" s="66"/>
      <c r="QFU15" s="66"/>
      <c r="QFV15" s="66"/>
      <c r="QFW15" s="66"/>
      <c r="QFX15" s="66"/>
      <c r="QFY15" s="66"/>
      <c r="QFZ15" s="66"/>
      <c r="QGA15" s="66"/>
      <c r="QGB15" s="66"/>
      <c r="QGC15" s="66"/>
      <c r="QGD15" s="66"/>
      <c r="QGE15" s="66"/>
      <c r="QGF15" s="66"/>
      <c r="QGG15" s="66"/>
      <c r="QGH15" s="66"/>
      <c r="QGI15" s="66"/>
      <c r="QGJ15" s="66"/>
      <c r="QGK15" s="66"/>
      <c r="QGL15" s="66"/>
      <c r="QGM15" s="66"/>
      <c r="QGN15" s="66"/>
      <c r="QGO15" s="66"/>
      <c r="QGP15" s="66"/>
      <c r="QGQ15" s="66"/>
      <c r="QGR15" s="66"/>
      <c r="QGS15" s="66"/>
      <c r="QGT15" s="66"/>
      <c r="QGU15" s="66"/>
      <c r="QGV15" s="66"/>
      <c r="QGW15" s="66"/>
      <c r="QGX15" s="66"/>
      <c r="QGY15" s="66"/>
      <c r="QGZ15" s="66"/>
      <c r="QHA15" s="66"/>
      <c r="QHB15" s="66"/>
      <c r="QHC15" s="66"/>
      <c r="QHD15" s="66"/>
      <c r="QHE15" s="66"/>
      <c r="QHF15" s="66"/>
      <c r="QHG15" s="66"/>
      <c r="QHH15" s="66"/>
      <c r="QHI15" s="66"/>
      <c r="QHJ15" s="66"/>
      <c r="QHK15" s="66"/>
      <c r="QHL15" s="66"/>
      <c r="QHM15" s="66"/>
      <c r="QHN15" s="66"/>
      <c r="QHO15" s="66"/>
      <c r="QHP15" s="66"/>
      <c r="QHQ15" s="66"/>
      <c r="QHR15" s="66"/>
      <c r="QHS15" s="66"/>
      <c r="QHT15" s="66"/>
      <c r="QHU15" s="66"/>
      <c r="QHV15" s="66"/>
      <c r="QHW15" s="66"/>
      <c r="QHX15" s="66"/>
      <c r="QHY15" s="66"/>
      <c r="QHZ15" s="66"/>
      <c r="QIA15" s="66"/>
      <c r="QIB15" s="66"/>
      <c r="QIC15" s="66"/>
      <c r="QID15" s="66"/>
      <c r="QIE15" s="66"/>
      <c r="QIF15" s="66"/>
      <c r="QIG15" s="66"/>
      <c r="QIH15" s="66"/>
      <c r="QII15" s="66"/>
      <c r="QIJ15" s="66"/>
      <c r="QIK15" s="66"/>
      <c r="QIL15" s="66"/>
      <c r="QIM15" s="66"/>
      <c r="QIN15" s="66"/>
      <c r="QIO15" s="66"/>
      <c r="QIP15" s="66"/>
      <c r="QIQ15" s="66"/>
      <c r="QIR15" s="66"/>
      <c r="QIS15" s="66"/>
      <c r="QIT15" s="66"/>
      <c r="QIU15" s="66"/>
      <c r="QIV15" s="66"/>
      <c r="QIW15" s="66"/>
      <c r="QIX15" s="66"/>
      <c r="QIY15" s="66"/>
      <c r="QIZ15" s="66"/>
      <c r="QJA15" s="66"/>
      <c r="QJB15" s="66"/>
      <c r="QJC15" s="66"/>
      <c r="QJD15" s="66"/>
      <c r="QJE15" s="66"/>
      <c r="QJF15" s="66"/>
      <c r="QJG15" s="66"/>
      <c r="QJH15" s="66"/>
      <c r="QJI15" s="66"/>
      <c r="QJJ15" s="66"/>
      <c r="QJK15" s="66"/>
      <c r="QJL15" s="66"/>
      <c r="QJM15" s="66"/>
      <c r="QJN15" s="66"/>
      <c r="QJO15" s="66"/>
      <c r="QJP15" s="66"/>
      <c r="QJQ15" s="66"/>
      <c r="QJR15" s="66"/>
      <c r="QJS15" s="66"/>
      <c r="QJT15" s="66"/>
      <c r="QJU15" s="66"/>
      <c r="QJV15" s="66"/>
      <c r="QJW15" s="66"/>
      <c r="QJX15" s="66"/>
      <c r="QJY15" s="66"/>
      <c r="QJZ15" s="66"/>
      <c r="QKA15" s="66"/>
      <c r="QKB15" s="66"/>
      <c r="QKC15" s="66"/>
      <c r="QKD15" s="66"/>
      <c r="QKE15" s="66"/>
      <c r="QKF15" s="66"/>
      <c r="QKG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H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V15" s="66"/>
      <c r="QLW15" s="66"/>
      <c r="QLX15" s="66"/>
      <c r="QLY15" s="66"/>
      <c r="QLZ15" s="66"/>
      <c r="QMA15" s="66"/>
      <c r="QMB15" s="66"/>
      <c r="QMC15" s="66"/>
      <c r="QMD15" s="66"/>
      <c r="QME15" s="66"/>
      <c r="QMF15" s="66"/>
      <c r="QMG15" s="66"/>
      <c r="QMH15" s="66"/>
      <c r="QMI15" s="66"/>
      <c r="QMJ15" s="66"/>
      <c r="QMK15" s="66"/>
      <c r="QML15" s="66"/>
      <c r="QMM15" s="66"/>
      <c r="QMN15" s="66"/>
      <c r="QMO15" s="66"/>
      <c r="QMP15" s="66"/>
      <c r="QMQ15" s="66"/>
      <c r="QMR15" s="66"/>
      <c r="QMS15" s="66"/>
      <c r="QMT15" s="66"/>
      <c r="QMU15" s="66"/>
      <c r="QMV15" s="66"/>
      <c r="QMW15" s="66"/>
      <c r="QMX15" s="66"/>
      <c r="QMY15" s="66"/>
      <c r="QMZ15" s="66"/>
      <c r="QNA15" s="66"/>
      <c r="QNB15" s="66"/>
      <c r="QNC15" s="66"/>
      <c r="QND15" s="66"/>
      <c r="QNE15" s="66"/>
      <c r="QNF15" s="66"/>
      <c r="QNG15" s="66"/>
      <c r="QNH15" s="66"/>
      <c r="QNI15" s="66"/>
      <c r="QNJ15" s="66"/>
      <c r="QNK15" s="66"/>
      <c r="QNL15" s="66"/>
      <c r="QNM15" s="66"/>
      <c r="QNN15" s="66"/>
      <c r="QNO15" s="66"/>
      <c r="QNP15" s="66"/>
      <c r="QNQ15" s="66"/>
      <c r="QNR15" s="66"/>
      <c r="QNS15" s="66"/>
      <c r="QNT15" s="66"/>
      <c r="QNU15" s="66"/>
      <c r="QNV15" s="66"/>
      <c r="QNW15" s="66"/>
      <c r="QNX15" s="66"/>
      <c r="QNY15" s="66"/>
      <c r="QNZ15" s="66"/>
      <c r="QOA15" s="66"/>
      <c r="QOB15" s="66"/>
      <c r="QOC15" s="66"/>
      <c r="QOD15" s="66"/>
      <c r="QOE15" s="66"/>
      <c r="QOF15" s="66"/>
      <c r="QOG15" s="66"/>
      <c r="QOH15" s="66"/>
      <c r="QOI15" s="66"/>
      <c r="QOJ15" s="66"/>
      <c r="QOK15" s="66"/>
      <c r="QOL15" s="66"/>
      <c r="QOM15" s="66"/>
      <c r="QON15" s="66"/>
      <c r="QOO15" s="66"/>
      <c r="QOP15" s="66"/>
      <c r="QOQ15" s="66"/>
      <c r="QOR15" s="66"/>
      <c r="QOS15" s="66"/>
      <c r="QOT15" s="66"/>
      <c r="QOU15" s="66"/>
      <c r="QOV15" s="66"/>
      <c r="QOW15" s="66"/>
      <c r="QOX15" s="66"/>
      <c r="QOY15" s="66"/>
      <c r="QOZ15" s="66"/>
      <c r="QPA15" s="66"/>
      <c r="QPB15" s="66"/>
      <c r="QPC15" s="66"/>
      <c r="QPD15" s="66"/>
      <c r="QPE15" s="66"/>
      <c r="QPF15" s="66"/>
      <c r="QPG15" s="66"/>
      <c r="QPH15" s="66"/>
      <c r="QPI15" s="66"/>
      <c r="QPJ15" s="66"/>
      <c r="QPK15" s="66"/>
      <c r="QPL15" s="66"/>
      <c r="QPM15" s="66"/>
      <c r="QPN15" s="66"/>
      <c r="QPO15" s="66"/>
      <c r="QPP15" s="66"/>
      <c r="QPQ15" s="66"/>
      <c r="QPR15" s="66"/>
      <c r="QPS15" s="66"/>
      <c r="QPT15" s="66"/>
      <c r="QPU15" s="66"/>
      <c r="QPV15" s="66"/>
      <c r="QPW15" s="66"/>
      <c r="QPX15" s="66"/>
      <c r="QPY15" s="66"/>
      <c r="QPZ15" s="66"/>
      <c r="QQA15" s="66"/>
      <c r="QQB15" s="66"/>
      <c r="QQC15" s="66"/>
      <c r="QQD15" s="66"/>
      <c r="QQE15" s="66"/>
      <c r="QQF15" s="66"/>
      <c r="QQG15" s="66"/>
      <c r="QQH15" s="66"/>
      <c r="QQI15" s="66"/>
      <c r="QQJ15" s="66"/>
      <c r="QQK15" s="66"/>
      <c r="QQL15" s="66"/>
      <c r="QQM15" s="66"/>
      <c r="QQN15" s="66"/>
      <c r="QQO15" s="66"/>
      <c r="QQP15" s="66"/>
      <c r="QQQ15" s="66"/>
      <c r="QQR15" s="66"/>
      <c r="QQS15" s="66"/>
      <c r="QQT15" s="66"/>
      <c r="QQU15" s="66"/>
      <c r="QQV15" s="66"/>
      <c r="QQW15" s="66"/>
      <c r="QQX15" s="66"/>
      <c r="QQY15" s="66"/>
      <c r="QQZ15" s="66"/>
      <c r="QRA15" s="66"/>
      <c r="QRB15" s="66"/>
      <c r="QRC15" s="66"/>
      <c r="QRD15" s="66"/>
      <c r="QRE15" s="66"/>
      <c r="QRF15" s="66"/>
      <c r="QRG15" s="66"/>
      <c r="QRH15" s="66"/>
      <c r="QRI15" s="66"/>
      <c r="QRJ15" s="66"/>
      <c r="QRK15" s="66"/>
      <c r="QRL15" s="66"/>
      <c r="QRM15" s="66"/>
      <c r="QRN15" s="66"/>
      <c r="QRO15" s="66"/>
      <c r="QRP15" s="66"/>
      <c r="QRQ15" s="66"/>
      <c r="QRR15" s="66"/>
      <c r="QRS15" s="66"/>
      <c r="QRT15" s="66"/>
      <c r="QRU15" s="66"/>
      <c r="QRV15" s="66"/>
      <c r="QRW15" s="66"/>
      <c r="QRX15" s="66"/>
      <c r="QRY15" s="66"/>
      <c r="QRZ15" s="66"/>
      <c r="QSA15" s="66"/>
      <c r="QSB15" s="66"/>
      <c r="QSC15" s="66"/>
      <c r="QSD15" s="66"/>
      <c r="QSE15" s="66"/>
      <c r="QSF15" s="66"/>
      <c r="QSG15" s="66"/>
      <c r="QSH15" s="66"/>
      <c r="QSI15" s="66"/>
      <c r="QSJ15" s="66"/>
      <c r="QSK15" s="66"/>
      <c r="QSL15" s="66"/>
      <c r="QSM15" s="66"/>
      <c r="QSN15" s="66"/>
      <c r="QSO15" s="66"/>
      <c r="QSP15" s="66"/>
      <c r="QSQ15" s="66"/>
      <c r="QSR15" s="66"/>
      <c r="QSS15" s="66"/>
      <c r="QST15" s="66"/>
      <c r="QSU15" s="66"/>
      <c r="QSV15" s="66"/>
      <c r="QSW15" s="66"/>
      <c r="QSX15" s="66"/>
      <c r="QSY15" s="66"/>
      <c r="QSZ15" s="66"/>
      <c r="QTA15" s="66"/>
      <c r="QTB15" s="66"/>
      <c r="QTC15" s="66"/>
      <c r="QTD15" s="66"/>
      <c r="QTE15" s="66"/>
      <c r="QTF15" s="66"/>
      <c r="QTG15" s="66"/>
      <c r="QTH15" s="66"/>
      <c r="QTI15" s="66"/>
      <c r="QTJ15" s="66"/>
      <c r="QTK15" s="66"/>
      <c r="QTL15" s="66"/>
      <c r="QTM15" s="66"/>
      <c r="QTN15" s="66"/>
      <c r="QTO15" s="66"/>
      <c r="QTP15" s="66"/>
      <c r="QTQ15" s="66"/>
      <c r="QTR15" s="66"/>
      <c r="QTS15" s="66"/>
      <c r="QTT15" s="66"/>
      <c r="QTU15" s="66"/>
      <c r="QTV15" s="66"/>
      <c r="QTW15" s="66"/>
      <c r="QTX15" s="66"/>
      <c r="QTY15" s="66"/>
      <c r="QTZ15" s="66"/>
      <c r="QUA15" s="66"/>
      <c r="QUB15" s="66"/>
      <c r="QUC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D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R15" s="66"/>
      <c r="QVS15" s="66"/>
      <c r="QVT15" s="66"/>
      <c r="QVU15" s="66"/>
      <c r="QVV15" s="66"/>
      <c r="QVW15" s="66"/>
      <c r="QVX15" s="66"/>
      <c r="QVY15" s="66"/>
      <c r="QVZ15" s="66"/>
      <c r="QWA15" s="66"/>
      <c r="QWB15" s="66"/>
      <c r="QWC15" s="66"/>
      <c r="QWD15" s="66"/>
      <c r="QWE15" s="66"/>
      <c r="QWF15" s="66"/>
      <c r="QWG15" s="66"/>
      <c r="QWH15" s="66"/>
      <c r="QWI15" s="66"/>
      <c r="QWJ15" s="66"/>
      <c r="QWK15" s="66"/>
      <c r="QWL15" s="66"/>
      <c r="QWM15" s="66"/>
      <c r="QWN15" s="66"/>
      <c r="QWO15" s="66"/>
      <c r="QWP15" s="66"/>
      <c r="QWQ15" s="66"/>
      <c r="QWR15" s="66"/>
      <c r="QWS15" s="66"/>
      <c r="QWT15" s="66"/>
      <c r="QWU15" s="66"/>
      <c r="QWV15" s="66"/>
      <c r="QWW15" s="66"/>
      <c r="QWX15" s="66"/>
      <c r="QWY15" s="66"/>
      <c r="QWZ15" s="66"/>
      <c r="QXA15" s="66"/>
      <c r="QXB15" s="66"/>
      <c r="QXC15" s="66"/>
      <c r="QXD15" s="66"/>
      <c r="QXE15" s="66"/>
      <c r="QXF15" s="66"/>
      <c r="QXG15" s="66"/>
      <c r="QXH15" s="66"/>
      <c r="QXI15" s="66"/>
      <c r="QXJ15" s="66"/>
      <c r="QXK15" s="66"/>
      <c r="QXL15" s="66"/>
      <c r="QXM15" s="66"/>
      <c r="QXN15" s="66"/>
      <c r="QXO15" s="66"/>
      <c r="QXP15" s="66"/>
      <c r="QXQ15" s="66"/>
      <c r="QXR15" s="66"/>
      <c r="QXS15" s="66"/>
      <c r="QXT15" s="66"/>
      <c r="QXU15" s="66"/>
      <c r="QXV15" s="66"/>
      <c r="QXW15" s="66"/>
      <c r="QXX15" s="66"/>
      <c r="QXY15" s="66"/>
      <c r="QXZ15" s="66"/>
      <c r="QYA15" s="66"/>
      <c r="QYB15" s="66"/>
      <c r="QYC15" s="66"/>
      <c r="QYD15" s="66"/>
      <c r="QYE15" s="66"/>
      <c r="QYF15" s="66"/>
      <c r="QYG15" s="66"/>
      <c r="QYH15" s="66"/>
      <c r="QYI15" s="66"/>
      <c r="QYJ15" s="66"/>
      <c r="QYK15" s="66"/>
      <c r="QYL15" s="66"/>
      <c r="QYM15" s="66"/>
      <c r="QYN15" s="66"/>
      <c r="QYO15" s="66"/>
      <c r="QYP15" s="66"/>
      <c r="QYQ15" s="66"/>
      <c r="QYR15" s="66"/>
      <c r="QYS15" s="66"/>
      <c r="QYT15" s="66"/>
      <c r="QYU15" s="66"/>
      <c r="QYV15" s="66"/>
      <c r="QYW15" s="66"/>
      <c r="QYX15" s="66"/>
      <c r="QYY15" s="66"/>
      <c r="QYZ15" s="66"/>
      <c r="QZA15" s="66"/>
      <c r="QZB15" s="66"/>
      <c r="QZC15" s="66"/>
      <c r="QZD15" s="66"/>
      <c r="QZE15" s="66"/>
      <c r="QZF15" s="66"/>
      <c r="QZG15" s="66"/>
      <c r="QZH15" s="66"/>
      <c r="QZI15" s="66"/>
      <c r="QZJ15" s="66"/>
      <c r="QZK15" s="66"/>
      <c r="QZL15" s="66"/>
      <c r="QZM15" s="66"/>
      <c r="QZN15" s="66"/>
      <c r="QZO15" s="66"/>
      <c r="QZP15" s="66"/>
      <c r="QZQ15" s="66"/>
      <c r="QZR15" s="66"/>
      <c r="QZS15" s="66"/>
      <c r="QZT15" s="66"/>
      <c r="QZU15" s="66"/>
      <c r="QZV15" s="66"/>
      <c r="QZW15" s="66"/>
      <c r="QZX15" s="66"/>
      <c r="QZY15" s="66"/>
      <c r="QZZ15" s="66"/>
      <c r="RAA15" s="66"/>
      <c r="RAB15" s="66"/>
      <c r="RAC15" s="66"/>
      <c r="RAD15" s="66"/>
      <c r="RAE15" s="66"/>
      <c r="RAF15" s="66"/>
      <c r="RAG15" s="66"/>
      <c r="RAH15" s="66"/>
      <c r="RAI15" s="66"/>
      <c r="RAJ15" s="66"/>
      <c r="RAK15" s="66"/>
      <c r="RAL15" s="66"/>
      <c r="RAM15" s="66"/>
      <c r="RAN15" s="66"/>
      <c r="RAO15" s="66"/>
      <c r="RAP15" s="66"/>
      <c r="RAQ15" s="66"/>
      <c r="RAR15" s="66"/>
      <c r="RAS15" s="66"/>
      <c r="RAT15" s="66"/>
      <c r="RAU15" s="66"/>
      <c r="RAV15" s="66"/>
      <c r="RAW15" s="66"/>
      <c r="RAX15" s="66"/>
      <c r="RAY15" s="66"/>
      <c r="RAZ15" s="66"/>
      <c r="RBA15" s="66"/>
      <c r="RBB15" s="66"/>
      <c r="RBC15" s="66"/>
      <c r="RBD15" s="66"/>
      <c r="RBE15" s="66"/>
      <c r="RBF15" s="66"/>
      <c r="RBG15" s="66"/>
      <c r="RBH15" s="66"/>
      <c r="RBI15" s="66"/>
      <c r="RBJ15" s="66"/>
      <c r="RBK15" s="66"/>
      <c r="RBL15" s="66"/>
      <c r="RBM15" s="66"/>
      <c r="RBN15" s="66"/>
      <c r="RBO15" s="66"/>
      <c r="RBP15" s="66"/>
      <c r="RBQ15" s="66"/>
      <c r="RBR15" s="66"/>
      <c r="RBS15" s="66"/>
      <c r="RBT15" s="66"/>
      <c r="RBU15" s="66"/>
      <c r="RBV15" s="66"/>
      <c r="RBW15" s="66"/>
      <c r="RBX15" s="66"/>
      <c r="RBY15" s="66"/>
      <c r="RBZ15" s="66"/>
      <c r="RCA15" s="66"/>
      <c r="RCB15" s="66"/>
      <c r="RCC15" s="66"/>
      <c r="RCD15" s="66"/>
      <c r="RCE15" s="66"/>
      <c r="RCF15" s="66"/>
      <c r="RCG15" s="66"/>
      <c r="RCH15" s="66"/>
      <c r="RCI15" s="66"/>
      <c r="RCJ15" s="66"/>
      <c r="RCK15" s="66"/>
      <c r="RCL15" s="66"/>
      <c r="RCM15" s="66"/>
      <c r="RCN15" s="66"/>
      <c r="RCO15" s="66"/>
      <c r="RCP15" s="66"/>
      <c r="RCQ15" s="66"/>
      <c r="RCR15" s="66"/>
      <c r="RCS15" s="66"/>
      <c r="RCT15" s="66"/>
      <c r="RCU15" s="66"/>
      <c r="RCV15" s="66"/>
      <c r="RCW15" s="66"/>
      <c r="RCX15" s="66"/>
      <c r="RCY15" s="66"/>
      <c r="RCZ15" s="66"/>
      <c r="RDA15" s="66"/>
      <c r="RDB15" s="66"/>
      <c r="RDC15" s="66"/>
      <c r="RDD15" s="66"/>
      <c r="RDE15" s="66"/>
      <c r="RDF15" s="66"/>
      <c r="RDG15" s="66"/>
      <c r="RDH15" s="66"/>
      <c r="RDI15" s="66"/>
      <c r="RDJ15" s="66"/>
      <c r="RDK15" s="66"/>
      <c r="RDL15" s="66"/>
      <c r="RDM15" s="66"/>
      <c r="RDN15" s="66"/>
      <c r="RDO15" s="66"/>
      <c r="RDP15" s="66"/>
      <c r="RDQ15" s="66"/>
      <c r="RDR15" s="66"/>
      <c r="RDS15" s="66"/>
      <c r="RDT15" s="66"/>
      <c r="RDU15" s="66"/>
      <c r="RDV15" s="66"/>
      <c r="RDW15" s="66"/>
      <c r="RDX15" s="66"/>
      <c r="RDY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EZ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N15" s="66"/>
      <c r="RFO15" s="66"/>
      <c r="RFP15" s="66"/>
      <c r="RFQ15" s="66"/>
      <c r="RFR15" s="66"/>
      <c r="RFS15" s="66"/>
      <c r="RFT15" s="66"/>
      <c r="RFU15" s="66"/>
      <c r="RFV15" s="66"/>
      <c r="RFW15" s="66"/>
      <c r="RFX15" s="66"/>
      <c r="RFY15" s="66"/>
      <c r="RFZ15" s="66"/>
      <c r="RGA15" s="66"/>
      <c r="RGB15" s="66"/>
      <c r="RGC15" s="66"/>
      <c r="RGD15" s="66"/>
      <c r="RGE15" s="66"/>
      <c r="RGF15" s="66"/>
      <c r="RGG15" s="66"/>
      <c r="RGH15" s="66"/>
      <c r="RGI15" s="66"/>
      <c r="RGJ15" s="66"/>
      <c r="RGK15" s="66"/>
      <c r="RGL15" s="66"/>
      <c r="RGM15" s="66"/>
      <c r="RGN15" s="66"/>
      <c r="RGO15" s="66"/>
      <c r="RGP15" s="66"/>
      <c r="RGQ15" s="66"/>
      <c r="RGR15" s="66"/>
      <c r="RGS15" s="66"/>
      <c r="RGT15" s="66"/>
      <c r="RGU15" s="66"/>
      <c r="RGV15" s="66"/>
      <c r="RGW15" s="66"/>
      <c r="RGX15" s="66"/>
      <c r="RGY15" s="66"/>
      <c r="RGZ15" s="66"/>
      <c r="RHA15" s="66"/>
      <c r="RHB15" s="66"/>
      <c r="RHC15" s="66"/>
      <c r="RHD15" s="66"/>
      <c r="RHE15" s="66"/>
      <c r="RHF15" s="66"/>
      <c r="RHG15" s="66"/>
      <c r="RHH15" s="66"/>
      <c r="RHI15" s="66"/>
      <c r="RHJ15" s="66"/>
      <c r="RHK15" s="66"/>
      <c r="RHL15" s="66"/>
      <c r="RHM15" s="66"/>
      <c r="RHN15" s="66"/>
      <c r="RHO15" s="66"/>
      <c r="RHP15" s="66"/>
      <c r="RHQ15" s="66"/>
      <c r="RHR15" s="66"/>
      <c r="RHS15" s="66"/>
      <c r="RHT15" s="66"/>
      <c r="RHU15" s="66"/>
      <c r="RHV15" s="66"/>
      <c r="RHW15" s="66"/>
      <c r="RHX15" s="66"/>
      <c r="RHY15" s="66"/>
      <c r="RHZ15" s="66"/>
      <c r="RIA15" s="66"/>
      <c r="RIB15" s="66"/>
      <c r="RIC15" s="66"/>
      <c r="RID15" s="66"/>
      <c r="RIE15" s="66"/>
      <c r="RIF15" s="66"/>
      <c r="RIG15" s="66"/>
      <c r="RIH15" s="66"/>
      <c r="RII15" s="66"/>
      <c r="RIJ15" s="66"/>
      <c r="RIK15" s="66"/>
      <c r="RIL15" s="66"/>
      <c r="RIM15" s="66"/>
      <c r="RIN15" s="66"/>
      <c r="RIO15" s="66"/>
      <c r="RIP15" s="66"/>
      <c r="RIQ15" s="66"/>
      <c r="RIR15" s="66"/>
      <c r="RIS15" s="66"/>
      <c r="RIT15" s="66"/>
      <c r="RIU15" s="66"/>
      <c r="RIV15" s="66"/>
      <c r="RIW15" s="66"/>
      <c r="RIX15" s="66"/>
      <c r="RIY15" s="66"/>
      <c r="RIZ15" s="66"/>
      <c r="RJA15" s="66"/>
      <c r="RJB15" s="66"/>
      <c r="RJC15" s="66"/>
      <c r="RJD15" s="66"/>
      <c r="RJE15" s="66"/>
      <c r="RJF15" s="66"/>
      <c r="RJG15" s="66"/>
      <c r="RJH15" s="66"/>
      <c r="RJI15" s="66"/>
      <c r="RJJ15" s="66"/>
      <c r="RJK15" s="66"/>
      <c r="RJL15" s="66"/>
      <c r="RJM15" s="66"/>
      <c r="RJN15" s="66"/>
      <c r="RJO15" s="66"/>
      <c r="RJP15" s="66"/>
      <c r="RJQ15" s="66"/>
      <c r="RJR15" s="66"/>
      <c r="RJS15" s="66"/>
      <c r="RJT15" s="66"/>
      <c r="RJU15" s="66"/>
      <c r="RJV15" s="66"/>
      <c r="RJW15" s="66"/>
      <c r="RJX15" s="66"/>
      <c r="RJY15" s="66"/>
      <c r="RJZ15" s="66"/>
      <c r="RKA15" s="66"/>
      <c r="RKB15" s="66"/>
      <c r="RKC15" s="66"/>
      <c r="RKD15" s="66"/>
      <c r="RKE15" s="66"/>
      <c r="RKF15" s="66"/>
      <c r="RKG15" s="66"/>
      <c r="RKH15" s="66"/>
      <c r="RKI15" s="66"/>
      <c r="RKJ15" s="66"/>
      <c r="RKK15" s="66"/>
      <c r="RKL15" s="66"/>
      <c r="RKM15" s="66"/>
      <c r="RKN15" s="66"/>
      <c r="RKO15" s="66"/>
      <c r="RKP15" s="66"/>
      <c r="RKQ15" s="66"/>
      <c r="RKR15" s="66"/>
      <c r="RKS15" s="66"/>
      <c r="RKT15" s="66"/>
      <c r="RKU15" s="66"/>
      <c r="RKV15" s="66"/>
      <c r="RKW15" s="66"/>
      <c r="RKX15" s="66"/>
      <c r="RKY15" s="66"/>
      <c r="RKZ15" s="66"/>
      <c r="RLA15" s="66"/>
      <c r="RLB15" s="66"/>
      <c r="RLC15" s="66"/>
      <c r="RLD15" s="66"/>
      <c r="RLE15" s="66"/>
      <c r="RLF15" s="66"/>
      <c r="RLG15" s="66"/>
      <c r="RLH15" s="66"/>
      <c r="RLI15" s="66"/>
      <c r="RLJ15" s="66"/>
      <c r="RLK15" s="66"/>
      <c r="RLL15" s="66"/>
      <c r="RLM15" s="66"/>
      <c r="RLN15" s="66"/>
      <c r="RLO15" s="66"/>
      <c r="RLP15" s="66"/>
      <c r="RLQ15" s="66"/>
      <c r="RLR15" s="66"/>
      <c r="RLS15" s="66"/>
      <c r="RLT15" s="66"/>
      <c r="RLU15" s="66"/>
      <c r="RLV15" s="66"/>
      <c r="RLW15" s="66"/>
      <c r="RLX15" s="66"/>
      <c r="RLY15" s="66"/>
      <c r="RLZ15" s="66"/>
      <c r="RMA15" s="66"/>
      <c r="RMB15" s="66"/>
      <c r="RMC15" s="66"/>
      <c r="RMD15" s="66"/>
      <c r="RME15" s="66"/>
      <c r="RMF15" s="66"/>
      <c r="RMG15" s="66"/>
      <c r="RMH15" s="66"/>
      <c r="RMI15" s="66"/>
      <c r="RMJ15" s="66"/>
      <c r="RMK15" s="66"/>
      <c r="RML15" s="66"/>
      <c r="RMM15" s="66"/>
      <c r="RMN15" s="66"/>
      <c r="RMO15" s="66"/>
      <c r="RMP15" s="66"/>
      <c r="RMQ15" s="66"/>
      <c r="RMR15" s="66"/>
      <c r="RMS15" s="66"/>
      <c r="RMT15" s="66"/>
      <c r="RMU15" s="66"/>
      <c r="RMV15" s="66"/>
      <c r="RMW15" s="66"/>
      <c r="RMX15" s="66"/>
      <c r="RMY15" s="66"/>
      <c r="RMZ15" s="66"/>
      <c r="RNA15" s="66"/>
      <c r="RNB15" s="66"/>
      <c r="RNC15" s="66"/>
      <c r="RND15" s="66"/>
      <c r="RNE15" s="66"/>
      <c r="RNF15" s="66"/>
      <c r="RNG15" s="66"/>
      <c r="RNH15" s="66"/>
      <c r="RNI15" s="66"/>
      <c r="RNJ15" s="66"/>
      <c r="RNK15" s="66"/>
      <c r="RNL15" s="66"/>
      <c r="RNM15" s="66"/>
      <c r="RNN15" s="66"/>
      <c r="RNO15" s="66"/>
      <c r="RNP15" s="66"/>
      <c r="RNQ15" s="66"/>
      <c r="RNR15" s="66"/>
      <c r="RNS15" s="66"/>
      <c r="RNT15" s="66"/>
      <c r="RNU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V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J15" s="66"/>
      <c r="RPK15" s="66"/>
      <c r="RPL15" s="66"/>
      <c r="RPM15" s="66"/>
      <c r="RPN15" s="66"/>
      <c r="RPO15" s="66"/>
      <c r="RPP15" s="66"/>
      <c r="RPQ15" s="66"/>
      <c r="RPR15" s="66"/>
      <c r="RPS15" s="66"/>
      <c r="RPT15" s="66"/>
      <c r="RPU15" s="66"/>
      <c r="RPV15" s="66"/>
      <c r="RPW15" s="66"/>
      <c r="RPX15" s="66"/>
      <c r="RPY15" s="66"/>
      <c r="RPZ15" s="66"/>
      <c r="RQA15" s="66"/>
      <c r="RQB15" s="66"/>
      <c r="RQC15" s="66"/>
      <c r="RQD15" s="66"/>
      <c r="RQE15" s="66"/>
      <c r="RQF15" s="66"/>
      <c r="RQG15" s="66"/>
      <c r="RQH15" s="66"/>
      <c r="RQI15" s="66"/>
      <c r="RQJ15" s="66"/>
      <c r="RQK15" s="66"/>
      <c r="RQL15" s="66"/>
      <c r="RQM15" s="66"/>
      <c r="RQN15" s="66"/>
      <c r="RQO15" s="66"/>
      <c r="RQP15" s="66"/>
      <c r="RQQ15" s="66"/>
      <c r="RQR15" s="66"/>
      <c r="RQS15" s="66"/>
      <c r="RQT15" s="66"/>
      <c r="RQU15" s="66"/>
      <c r="RQV15" s="66"/>
      <c r="RQW15" s="66"/>
      <c r="RQX15" s="66"/>
      <c r="RQY15" s="66"/>
      <c r="RQZ15" s="66"/>
      <c r="RRA15" s="66"/>
      <c r="RRB15" s="66"/>
      <c r="RRC15" s="66"/>
      <c r="RRD15" s="66"/>
      <c r="RRE15" s="66"/>
      <c r="RRF15" s="66"/>
      <c r="RRG15" s="66"/>
      <c r="RRH15" s="66"/>
      <c r="RRI15" s="66"/>
      <c r="RRJ15" s="66"/>
      <c r="RRK15" s="66"/>
      <c r="RRL15" s="66"/>
      <c r="RRM15" s="66"/>
      <c r="RRN15" s="66"/>
      <c r="RRO15" s="66"/>
      <c r="RRP15" s="66"/>
      <c r="RRQ15" s="66"/>
      <c r="RRR15" s="66"/>
      <c r="RRS15" s="66"/>
      <c r="RRT15" s="66"/>
      <c r="RRU15" s="66"/>
      <c r="RRV15" s="66"/>
      <c r="RRW15" s="66"/>
      <c r="RRX15" s="66"/>
      <c r="RRY15" s="66"/>
      <c r="RRZ15" s="66"/>
      <c r="RSA15" s="66"/>
      <c r="RSB15" s="66"/>
      <c r="RSC15" s="66"/>
      <c r="RSD15" s="66"/>
      <c r="RSE15" s="66"/>
      <c r="RSF15" s="66"/>
      <c r="RSG15" s="66"/>
      <c r="RSH15" s="66"/>
      <c r="RSI15" s="66"/>
      <c r="RSJ15" s="66"/>
      <c r="RSK15" s="66"/>
      <c r="RSL15" s="66"/>
      <c r="RSM15" s="66"/>
      <c r="RSN15" s="66"/>
      <c r="RSO15" s="66"/>
      <c r="RSP15" s="66"/>
      <c r="RSQ15" s="66"/>
      <c r="RSR15" s="66"/>
      <c r="RSS15" s="66"/>
      <c r="RST15" s="66"/>
      <c r="RSU15" s="66"/>
      <c r="RSV15" s="66"/>
      <c r="RSW15" s="66"/>
      <c r="RSX15" s="66"/>
      <c r="RSY15" s="66"/>
      <c r="RSZ15" s="66"/>
      <c r="RTA15" s="66"/>
      <c r="RTB15" s="66"/>
      <c r="RTC15" s="66"/>
      <c r="RTD15" s="66"/>
      <c r="RTE15" s="66"/>
      <c r="RTF15" s="66"/>
      <c r="RTG15" s="66"/>
      <c r="RTH15" s="66"/>
      <c r="RTI15" s="66"/>
      <c r="RTJ15" s="66"/>
      <c r="RTK15" s="66"/>
      <c r="RTL15" s="66"/>
      <c r="RTM15" s="66"/>
      <c r="RTN15" s="66"/>
      <c r="RTO15" s="66"/>
      <c r="RTP15" s="66"/>
      <c r="RTQ15" s="66"/>
      <c r="RTR15" s="66"/>
      <c r="RTS15" s="66"/>
      <c r="RTT15" s="66"/>
      <c r="RTU15" s="66"/>
      <c r="RTV15" s="66"/>
      <c r="RTW15" s="66"/>
      <c r="RTX15" s="66"/>
      <c r="RTY15" s="66"/>
      <c r="RTZ15" s="66"/>
      <c r="RUA15" s="66"/>
      <c r="RUB15" s="66"/>
      <c r="RUC15" s="66"/>
      <c r="RUD15" s="66"/>
      <c r="RUE15" s="66"/>
      <c r="RUF15" s="66"/>
      <c r="RUG15" s="66"/>
      <c r="RUH15" s="66"/>
      <c r="RUI15" s="66"/>
      <c r="RUJ15" s="66"/>
      <c r="RUK15" s="66"/>
      <c r="RUL15" s="66"/>
      <c r="RUM15" s="66"/>
      <c r="RUN15" s="66"/>
      <c r="RUO15" s="66"/>
      <c r="RUP15" s="66"/>
      <c r="RUQ15" s="66"/>
      <c r="RUR15" s="66"/>
      <c r="RUS15" s="66"/>
      <c r="RUT15" s="66"/>
      <c r="RUU15" s="66"/>
      <c r="RUV15" s="66"/>
      <c r="RUW15" s="66"/>
      <c r="RUX15" s="66"/>
      <c r="RUY15" s="66"/>
      <c r="RUZ15" s="66"/>
      <c r="RVA15" s="66"/>
      <c r="RVB15" s="66"/>
      <c r="RVC15" s="66"/>
      <c r="RVD15" s="66"/>
      <c r="RVE15" s="66"/>
      <c r="RVF15" s="66"/>
      <c r="RVG15" s="66"/>
      <c r="RVH15" s="66"/>
      <c r="RVI15" s="66"/>
      <c r="RVJ15" s="66"/>
      <c r="RVK15" s="66"/>
      <c r="RVL15" s="66"/>
      <c r="RVM15" s="66"/>
      <c r="RVN15" s="66"/>
      <c r="RVO15" s="66"/>
      <c r="RVP15" s="66"/>
      <c r="RVQ15" s="66"/>
      <c r="RVR15" s="66"/>
      <c r="RVS15" s="66"/>
      <c r="RVT15" s="66"/>
      <c r="RVU15" s="66"/>
      <c r="RVV15" s="66"/>
      <c r="RVW15" s="66"/>
      <c r="RVX15" s="66"/>
      <c r="RVY15" s="66"/>
      <c r="RVZ15" s="66"/>
      <c r="RWA15" s="66"/>
      <c r="RWB15" s="66"/>
      <c r="RWC15" s="66"/>
      <c r="RWD15" s="66"/>
      <c r="RWE15" s="66"/>
      <c r="RWF15" s="66"/>
      <c r="RWG15" s="66"/>
      <c r="RWH15" s="66"/>
      <c r="RWI15" s="66"/>
      <c r="RWJ15" s="66"/>
      <c r="RWK15" s="66"/>
      <c r="RWL15" s="66"/>
      <c r="RWM15" s="66"/>
      <c r="RWN15" s="66"/>
      <c r="RWO15" s="66"/>
      <c r="RWP15" s="66"/>
      <c r="RWQ15" s="66"/>
      <c r="RWR15" s="66"/>
      <c r="RWS15" s="66"/>
      <c r="RWT15" s="66"/>
      <c r="RWU15" s="66"/>
      <c r="RWV15" s="66"/>
      <c r="RWW15" s="66"/>
      <c r="RWX15" s="66"/>
      <c r="RWY15" s="66"/>
      <c r="RWZ15" s="66"/>
      <c r="RXA15" s="66"/>
      <c r="RXB15" s="66"/>
      <c r="RXC15" s="66"/>
      <c r="RXD15" s="66"/>
      <c r="RXE15" s="66"/>
      <c r="RXF15" s="66"/>
      <c r="RXG15" s="66"/>
      <c r="RXH15" s="66"/>
      <c r="RXI15" s="66"/>
      <c r="RXJ15" s="66"/>
      <c r="RXK15" s="66"/>
      <c r="RXL15" s="66"/>
      <c r="RXM15" s="66"/>
      <c r="RXN15" s="66"/>
      <c r="RXO15" s="66"/>
      <c r="RXP15" s="66"/>
      <c r="RXQ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R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F15" s="66"/>
      <c r="RZG15" s="66"/>
      <c r="RZH15" s="66"/>
      <c r="RZI15" s="66"/>
      <c r="RZJ15" s="66"/>
      <c r="RZK15" s="66"/>
      <c r="RZL15" s="66"/>
      <c r="RZM15" s="66"/>
      <c r="RZN15" s="66"/>
      <c r="RZO15" s="66"/>
      <c r="RZP15" s="66"/>
      <c r="RZQ15" s="66"/>
      <c r="RZR15" s="66"/>
      <c r="RZS15" s="66"/>
      <c r="RZT15" s="66"/>
      <c r="RZU15" s="66"/>
      <c r="RZV15" s="66"/>
      <c r="RZW15" s="66"/>
      <c r="RZX15" s="66"/>
      <c r="RZY15" s="66"/>
      <c r="RZZ15" s="66"/>
      <c r="SAA15" s="66"/>
      <c r="SAB15" s="66"/>
      <c r="SAC15" s="66"/>
      <c r="SAD15" s="66"/>
      <c r="SAE15" s="66"/>
      <c r="SAF15" s="66"/>
      <c r="SAG15" s="66"/>
      <c r="SAH15" s="66"/>
      <c r="SAI15" s="66"/>
      <c r="SAJ15" s="66"/>
      <c r="SAK15" s="66"/>
      <c r="SAL15" s="66"/>
      <c r="SAM15" s="66"/>
      <c r="SAN15" s="66"/>
      <c r="SAO15" s="66"/>
      <c r="SAP15" s="66"/>
      <c r="SAQ15" s="66"/>
      <c r="SAR15" s="66"/>
      <c r="SAS15" s="66"/>
      <c r="SAT15" s="66"/>
      <c r="SAU15" s="66"/>
      <c r="SAV15" s="66"/>
      <c r="SAW15" s="66"/>
      <c r="SAX15" s="66"/>
      <c r="SAY15" s="66"/>
      <c r="SAZ15" s="66"/>
      <c r="SBA15" s="66"/>
      <c r="SBB15" s="66"/>
      <c r="SBC15" s="66"/>
      <c r="SBD15" s="66"/>
      <c r="SBE15" s="66"/>
      <c r="SBF15" s="66"/>
      <c r="SBG15" s="66"/>
      <c r="SBH15" s="66"/>
      <c r="SBI15" s="66"/>
      <c r="SBJ15" s="66"/>
      <c r="SBK15" s="66"/>
      <c r="SBL15" s="66"/>
      <c r="SBM15" s="66"/>
      <c r="SBN15" s="66"/>
      <c r="SBO15" s="66"/>
      <c r="SBP15" s="66"/>
      <c r="SBQ15" s="66"/>
      <c r="SBR15" s="66"/>
      <c r="SBS15" s="66"/>
      <c r="SBT15" s="66"/>
      <c r="SBU15" s="66"/>
      <c r="SBV15" s="66"/>
      <c r="SBW15" s="66"/>
      <c r="SBX15" s="66"/>
      <c r="SBY15" s="66"/>
      <c r="SBZ15" s="66"/>
      <c r="SCA15" s="66"/>
      <c r="SCB15" s="66"/>
      <c r="SCC15" s="66"/>
      <c r="SCD15" s="66"/>
      <c r="SCE15" s="66"/>
      <c r="SCF15" s="66"/>
      <c r="SCG15" s="66"/>
      <c r="SCH15" s="66"/>
      <c r="SCI15" s="66"/>
      <c r="SCJ15" s="66"/>
      <c r="SCK15" s="66"/>
      <c r="SCL15" s="66"/>
      <c r="SCM15" s="66"/>
      <c r="SCN15" s="66"/>
      <c r="SCO15" s="66"/>
      <c r="SCP15" s="66"/>
      <c r="SCQ15" s="66"/>
      <c r="SCR15" s="66"/>
      <c r="SCS15" s="66"/>
      <c r="SCT15" s="66"/>
      <c r="SCU15" s="66"/>
      <c r="SCV15" s="66"/>
      <c r="SCW15" s="66"/>
      <c r="SCX15" s="66"/>
      <c r="SCY15" s="66"/>
      <c r="SCZ15" s="66"/>
      <c r="SDA15" s="66"/>
      <c r="SDB15" s="66"/>
      <c r="SDC15" s="66"/>
      <c r="SDD15" s="66"/>
      <c r="SDE15" s="66"/>
      <c r="SDF15" s="66"/>
      <c r="SDG15" s="66"/>
      <c r="SDH15" s="66"/>
      <c r="SDI15" s="66"/>
      <c r="SDJ15" s="66"/>
      <c r="SDK15" s="66"/>
      <c r="SDL15" s="66"/>
      <c r="SDM15" s="66"/>
      <c r="SDN15" s="66"/>
      <c r="SDO15" s="66"/>
      <c r="SDP15" s="66"/>
      <c r="SDQ15" s="66"/>
      <c r="SDR15" s="66"/>
      <c r="SDS15" s="66"/>
      <c r="SDT15" s="66"/>
      <c r="SDU15" s="66"/>
      <c r="SDV15" s="66"/>
      <c r="SDW15" s="66"/>
      <c r="SDX15" s="66"/>
      <c r="SDY15" s="66"/>
      <c r="SDZ15" s="66"/>
      <c r="SEA15" s="66"/>
      <c r="SEB15" s="66"/>
      <c r="SEC15" s="66"/>
      <c r="SED15" s="66"/>
      <c r="SEE15" s="66"/>
      <c r="SEF15" s="66"/>
      <c r="SEG15" s="66"/>
      <c r="SEH15" s="66"/>
      <c r="SEI15" s="66"/>
      <c r="SEJ15" s="66"/>
      <c r="SEK15" s="66"/>
      <c r="SEL15" s="66"/>
      <c r="SEM15" s="66"/>
      <c r="SEN15" s="66"/>
      <c r="SEO15" s="66"/>
      <c r="SEP15" s="66"/>
      <c r="SEQ15" s="66"/>
      <c r="SER15" s="66"/>
      <c r="SES15" s="66"/>
      <c r="SET15" s="66"/>
      <c r="SEU15" s="66"/>
      <c r="SEV15" s="66"/>
      <c r="SEW15" s="66"/>
      <c r="SEX15" s="66"/>
      <c r="SEY15" s="66"/>
      <c r="SEZ15" s="66"/>
      <c r="SFA15" s="66"/>
      <c r="SFB15" s="66"/>
      <c r="SFC15" s="66"/>
      <c r="SFD15" s="66"/>
      <c r="SFE15" s="66"/>
      <c r="SFF15" s="66"/>
      <c r="SFG15" s="66"/>
      <c r="SFH15" s="66"/>
      <c r="SFI15" s="66"/>
      <c r="SFJ15" s="66"/>
      <c r="SFK15" s="66"/>
      <c r="SFL15" s="66"/>
      <c r="SFM15" s="66"/>
      <c r="SFN15" s="66"/>
      <c r="SFO15" s="66"/>
      <c r="SFP15" s="66"/>
      <c r="SFQ15" s="66"/>
      <c r="SFR15" s="66"/>
      <c r="SFS15" s="66"/>
      <c r="SFT15" s="66"/>
      <c r="SFU15" s="66"/>
      <c r="SFV15" s="66"/>
      <c r="SFW15" s="66"/>
      <c r="SFX15" s="66"/>
      <c r="SFY15" s="66"/>
      <c r="SFZ15" s="66"/>
      <c r="SGA15" s="66"/>
      <c r="SGB15" s="66"/>
      <c r="SGC15" s="66"/>
      <c r="SGD15" s="66"/>
      <c r="SGE15" s="66"/>
      <c r="SGF15" s="66"/>
      <c r="SGG15" s="66"/>
      <c r="SGH15" s="66"/>
      <c r="SGI15" s="66"/>
      <c r="SGJ15" s="66"/>
      <c r="SGK15" s="66"/>
      <c r="SGL15" s="66"/>
      <c r="SGM15" s="66"/>
      <c r="SGN15" s="66"/>
      <c r="SGO15" s="66"/>
      <c r="SGP15" s="66"/>
      <c r="SGQ15" s="66"/>
      <c r="SGR15" s="66"/>
      <c r="SGS15" s="66"/>
      <c r="SGT15" s="66"/>
      <c r="SGU15" s="66"/>
      <c r="SGV15" s="66"/>
      <c r="SGW15" s="66"/>
      <c r="SGX15" s="66"/>
      <c r="SGY15" s="66"/>
      <c r="SGZ15" s="66"/>
      <c r="SHA15" s="66"/>
      <c r="SHB15" s="66"/>
      <c r="SHC15" s="66"/>
      <c r="SHD15" s="66"/>
      <c r="SHE15" s="66"/>
      <c r="SHF15" s="66"/>
      <c r="SHG15" s="66"/>
      <c r="SHH15" s="66"/>
      <c r="SHI15" s="66"/>
      <c r="SHJ15" s="66"/>
      <c r="SHK15" s="66"/>
      <c r="SHL15" s="66"/>
      <c r="SHM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N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B15" s="66"/>
      <c r="SJC15" s="66"/>
      <c r="SJD15" s="66"/>
      <c r="SJE15" s="66"/>
      <c r="SJF15" s="66"/>
      <c r="SJG15" s="66"/>
      <c r="SJH15" s="66"/>
      <c r="SJI15" s="66"/>
      <c r="SJJ15" s="66"/>
      <c r="SJK15" s="66"/>
      <c r="SJL15" s="66"/>
      <c r="SJM15" s="66"/>
      <c r="SJN15" s="66"/>
      <c r="SJO15" s="66"/>
      <c r="SJP15" s="66"/>
      <c r="SJQ15" s="66"/>
      <c r="SJR15" s="66"/>
      <c r="SJS15" s="66"/>
      <c r="SJT15" s="66"/>
      <c r="SJU15" s="66"/>
      <c r="SJV15" s="66"/>
      <c r="SJW15" s="66"/>
      <c r="SJX15" s="66"/>
      <c r="SJY15" s="66"/>
      <c r="SJZ15" s="66"/>
      <c r="SKA15" s="66"/>
      <c r="SKB15" s="66"/>
      <c r="SKC15" s="66"/>
      <c r="SKD15" s="66"/>
      <c r="SKE15" s="66"/>
      <c r="SKF15" s="66"/>
      <c r="SKG15" s="66"/>
      <c r="SKH15" s="66"/>
      <c r="SKI15" s="66"/>
      <c r="SKJ15" s="66"/>
      <c r="SKK15" s="66"/>
      <c r="SKL15" s="66"/>
      <c r="SKM15" s="66"/>
      <c r="SKN15" s="66"/>
      <c r="SKO15" s="66"/>
      <c r="SKP15" s="66"/>
      <c r="SKQ15" s="66"/>
      <c r="SKR15" s="66"/>
      <c r="SKS15" s="66"/>
      <c r="SKT15" s="66"/>
      <c r="SKU15" s="66"/>
      <c r="SKV15" s="66"/>
      <c r="SKW15" s="66"/>
      <c r="SKX15" s="66"/>
      <c r="SKY15" s="66"/>
      <c r="SKZ15" s="66"/>
      <c r="SLA15" s="66"/>
      <c r="SLB15" s="66"/>
      <c r="SLC15" s="66"/>
      <c r="SLD15" s="66"/>
      <c r="SLE15" s="66"/>
      <c r="SLF15" s="66"/>
      <c r="SLG15" s="66"/>
      <c r="SLH15" s="66"/>
      <c r="SLI15" s="66"/>
      <c r="SLJ15" s="66"/>
      <c r="SLK15" s="66"/>
      <c r="SLL15" s="66"/>
      <c r="SLM15" s="66"/>
      <c r="SLN15" s="66"/>
      <c r="SLO15" s="66"/>
      <c r="SLP15" s="66"/>
      <c r="SLQ15" s="66"/>
      <c r="SLR15" s="66"/>
      <c r="SLS15" s="66"/>
      <c r="SLT15" s="66"/>
      <c r="SLU15" s="66"/>
      <c r="SLV15" s="66"/>
      <c r="SLW15" s="66"/>
      <c r="SLX15" s="66"/>
      <c r="SLY15" s="66"/>
      <c r="SLZ15" s="66"/>
      <c r="SMA15" s="66"/>
      <c r="SMB15" s="66"/>
      <c r="SMC15" s="66"/>
      <c r="SMD15" s="66"/>
      <c r="SME15" s="66"/>
      <c r="SMF15" s="66"/>
      <c r="SMG15" s="66"/>
      <c r="SMH15" s="66"/>
      <c r="SMI15" s="66"/>
      <c r="SMJ15" s="66"/>
      <c r="SMK15" s="66"/>
      <c r="SML15" s="66"/>
      <c r="SMM15" s="66"/>
      <c r="SMN15" s="66"/>
      <c r="SMO15" s="66"/>
      <c r="SMP15" s="66"/>
      <c r="SMQ15" s="66"/>
      <c r="SMR15" s="66"/>
      <c r="SMS15" s="66"/>
      <c r="SMT15" s="66"/>
      <c r="SMU15" s="66"/>
      <c r="SMV15" s="66"/>
      <c r="SMW15" s="66"/>
      <c r="SMX15" s="66"/>
      <c r="SMY15" s="66"/>
      <c r="SMZ15" s="66"/>
      <c r="SNA15" s="66"/>
      <c r="SNB15" s="66"/>
      <c r="SNC15" s="66"/>
      <c r="SND15" s="66"/>
      <c r="SNE15" s="66"/>
      <c r="SNF15" s="66"/>
      <c r="SNG15" s="66"/>
      <c r="SNH15" s="66"/>
      <c r="SNI15" s="66"/>
      <c r="SNJ15" s="66"/>
      <c r="SNK15" s="66"/>
      <c r="SNL15" s="66"/>
      <c r="SNM15" s="66"/>
      <c r="SNN15" s="66"/>
      <c r="SNO15" s="66"/>
      <c r="SNP15" s="66"/>
      <c r="SNQ15" s="66"/>
      <c r="SNR15" s="66"/>
      <c r="SNS15" s="66"/>
      <c r="SNT15" s="66"/>
      <c r="SNU15" s="66"/>
      <c r="SNV15" s="66"/>
      <c r="SNW15" s="66"/>
      <c r="SNX15" s="66"/>
      <c r="SNY15" s="66"/>
      <c r="SNZ15" s="66"/>
      <c r="SOA15" s="66"/>
      <c r="SOB15" s="66"/>
      <c r="SOC15" s="66"/>
      <c r="SOD15" s="66"/>
      <c r="SOE15" s="66"/>
      <c r="SOF15" s="66"/>
      <c r="SOG15" s="66"/>
      <c r="SOH15" s="66"/>
      <c r="SOI15" s="66"/>
      <c r="SOJ15" s="66"/>
      <c r="SOK15" s="66"/>
      <c r="SOL15" s="66"/>
      <c r="SOM15" s="66"/>
      <c r="SON15" s="66"/>
      <c r="SOO15" s="66"/>
      <c r="SOP15" s="66"/>
      <c r="SOQ15" s="66"/>
      <c r="SOR15" s="66"/>
      <c r="SOS15" s="66"/>
      <c r="SOT15" s="66"/>
      <c r="SOU15" s="66"/>
      <c r="SOV15" s="66"/>
      <c r="SOW15" s="66"/>
      <c r="SOX15" s="66"/>
      <c r="SOY15" s="66"/>
      <c r="SOZ15" s="66"/>
      <c r="SPA15" s="66"/>
      <c r="SPB15" s="66"/>
      <c r="SPC15" s="66"/>
      <c r="SPD15" s="66"/>
      <c r="SPE15" s="66"/>
      <c r="SPF15" s="66"/>
      <c r="SPG15" s="66"/>
      <c r="SPH15" s="66"/>
      <c r="SPI15" s="66"/>
      <c r="SPJ15" s="66"/>
      <c r="SPK15" s="66"/>
      <c r="SPL15" s="66"/>
      <c r="SPM15" s="66"/>
      <c r="SPN15" s="66"/>
      <c r="SPO15" s="66"/>
      <c r="SPP15" s="66"/>
      <c r="SPQ15" s="66"/>
      <c r="SPR15" s="66"/>
      <c r="SPS15" s="66"/>
      <c r="SPT15" s="66"/>
      <c r="SPU15" s="66"/>
      <c r="SPV15" s="66"/>
      <c r="SPW15" s="66"/>
      <c r="SPX15" s="66"/>
      <c r="SPY15" s="66"/>
      <c r="SPZ15" s="66"/>
      <c r="SQA15" s="66"/>
      <c r="SQB15" s="66"/>
      <c r="SQC15" s="66"/>
      <c r="SQD15" s="66"/>
      <c r="SQE15" s="66"/>
      <c r="SQF15" s="66"/>
      <c r="SQG15" s="66"/>
      <c r="SQH15" s="66"/>
      <c r="SQI15" s="66"/>
      <c r="SQJ15" s="66"/>
      <c r="SQK15" s="66"/>
      <c r="SQL15" s="66"/>
      <c r="SQM15" s="66"/>
      <c r="SQN15" s="66"/>
      <c r="SQO15" s="66"/>
      <c r="SQP15" s="66"/>
      <c r="SQQ15" s="66"/>
      <c r="SQR15" s="66"/>
      <c r="SQS15" s="66"/>
      <c r="SQT15" s="66"/>
      <c r="SQU15" s="66"/>
      <c r="SQV15" s="66"/>
      <c r="SQW15" s="66"/>
      <c r="SQX15" s="66"/>
      <c r="SQY15" s="66"/>
      <c r="SQZ15" s="66"/>
      <c r="SRA15" s="66"/>
      <c r="SRB15" s="66"/>
      <c r="SRC15" s="66"/>
      <c r="SRD15" s="66"/>
      <c r="SRE15" s="66"/>
      <c r="SRF15" s="66"/>
      <c r="SRG15" s="66"/>
      <c r="SRH15" s="66"/>
      <c r="SRI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J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X15" s="66"/>
      <c r="SSY15" s="66"/>
      <c r="SSZ15" s="66"/>
      <c r="STA15" s="66"/>
      <c r="STB15" s="66"/>
      <c r="STC15" s="66"/>
      <c r="STD15" s="66"/>
      <c r="STE15" s="66"/>
      <c r="STF15" s="66"/>
      <c r="STG15" s="66"/>
      <c r="STH15" s="66"/>
      <c r="STI15" s="66"/>
      <c r="STJ15" s="66"/>
      <c r="STK15" s="66"/>
      <c r="STL15" s="66"/>
      <c r="STM15" s="66"/>
      <c r="STN15" s="66"/>
      <c r="STO15" s="66"/>
      <c r="STP15" s="66"/>
      <c r="STQ15" s="66"/>
      <c r="STR15" s="66"/>
      <c r="STS15" s="66"/>
      <c r="STT15" s="66"/>
      <c r="STU15" s="66"/>
      <c r="STV15" s="66"/>
      <c r="STW15" s="66"/>
      <c r="STX15" s="66"/>
      <c r="STY15" s="66"/>
      <c r="STZ15" s="66"/>
      <c r="SUA15" s="66"/>
      <c r="SUB15" s="66"/>
      <c r="SUC15" s="66"/>
      <c r="SUD15" s="66"/>
      <c r="SUE15" s="66"/>
      <c r="SUF15" s="66"/>
      <c r="SUG15" s="66"/>
      <c r="SUH15" s="66"/>
      <c r="SUI15" s="66"/>
      <c r="SUJ15" s="66"/>
      <c r="SUK15" s="66"/>
      <c r="SUL15" s="66"/>
      <c r="SUM15" s="66"/>
      <c r="SUN15" s="66"/>
      <c r="SUO15" s="66"/>
      <c r="SUP15" s="66"/>
      <c r="SUQ15" s="66"/>
      <c r="SUR15" s="66"/>
      <c r="SUS15" s="66"/>
      <c r="SUT15" s="66"/>
      <c r="SUU15" s="66"/>
      <c r="SUV15" s="66"/>
      <c r="SUW15" s="66"/>
      <c r="SUX15" s="66"/>
      <c r="SUY15" s="66"/>
      <c r="SUZ15" s="66"/>
      <c r="SVA15" s="66"/>
      <c r="SVB15" s="66"/>
      <c r="SVC15" s="66"/>
      <c r="SVD15" s="66"/>
      <c r="SVE15" s="66"/>
      <c r="SVF15" s="66"/>
      <c r="SVG15" s="66"/>
      <c r="SVH15" s="66"/>
      <c r="SVI15" s="66"/>
      <c r="SVJ15" s="66"/>
      <c r="SVK15" s="66"/>
      <c r="SVL15" s="66"/>
      <c r="SVM15" s="66"/>
      <c r="SVN15" s="66"/>
      <c r="SVO15" s="66"/>
      <c r="SVP15" s="66"/>
      <c r="SVQ15" s="66"/>
      <c r="SVR15" s="66"/>
      <c r="SVS15" s="66"/>
      <c r="SVT15" s="66"/>
      <c r="SVU15" s="66"/>
      <c r="SVV15" s="66"/>
      <c r="SVW15" s="66"/>
      <c r="SVX15" s="66"/>
      <c r="SVY15" s="66"/>
      <c r="SVZ15" s="66"/>
      <c r="SWA15" s="66"/>
      <c r="SWB15" s="66"/>
      <c r="SWC15" s="66"/>
      <c r="SWD15" s="66"/>
      <c r="SWE15" s="66"/>
      <c r="SWF15" s="66"/>
      <c r="SWG15" s="66"/>
      <c r="SWH15" s="66"/>
      <c r="SWI15" s="66"/>
      <c r="SWJ15" s="66"/>
      <c r="SWK15" s="66"/>
      <c r="SWL15" s="66"/>
      <c r="SWM15" s="66"/>
      <c r="SWN15" s="66"/>
      <c r="SWO15" s="66"/>
      <c r="SWP15" s="66"/>
      <c r="SWQ15" s="66"/>
      <c r="SWR15" s="66"/>
      <c r="SWS15" s="66"/>
      <c r="SWT15" s="66"/>
      <c r="SWU15" s="66"/>
      <c r="SWV15" s="66"/>
      <c r="SWW15" s="66"/>
      <c r="SWX15" s="66"/>
      <c r="SWY15" s="66"/>
      <c r="SWZ15" s="66"/>
      <c r="SXA15" s="66"/>
      <c r="SXB15" s="66"/>
      <c r="SXC15" s="66"/>
      <c r="SXD15" s="66"/>
      <c r="SXE15" s="66"/>
      <c r="SXF15" s="66"/>
      <c r="SXG15" s="66"/>
      <c r="SXH15" s="66"/>
      <c r="SXI15" s="66"/>
      <c r="SXJ15" s="66"/>
      <c r="SXK15" s="66"/>
      <c r="SXL15" s="66"/>
      <c r="SXM15" s="66"/>
      <c r="SXN15" s="66"/>
      <c r="SXO15" s="66"/>
      <c r="SXP15" s="66"/>
      <c r="SXQ15" s="66"/>
      <c r="SXR15" s="66"/>
      <c r="SXS15" s="66"/>
      <c r="SXT15" s="66"/>
      <c r="SXU15" s="66"/>
      <c r="SXV15" s="66"/>
      <c r="SXW15" s="66"/>
      <c r="SXX15" s="66"/>
      <c r="SXY15" s="66"/>
      <c r="SXZ15" s="66"/>
      <c r="SYA15" s="66"/>
      <c r="SYB15" s="66"/>
      <c r="SYC15" s="66"/>
      <c r="SYD15" s="66"/>
      <c r="SYE15" s="66"/>
      <c r="SYF15" s="66"/>
      <c r="SYG15" s="66"/>
      <c r="SYH15" s="66"/>
      <c r="SYI15" s="66"/>
      <c r="SYJ15" s="66"/>
      <c r="SYK15" s="66"/>
      <c r="SYL15" s="66"/>
      <c r="SYM15" s="66"/>
      <c r="SYN15" s="66"/>
      <c r="SYO15" s="66"/>
      <c r="SYP15" s="66"/>
      <c r="SYQ15" s="66"/>
      <c r="SYR15" s="66"/>
      <c r="SYS15" s="66"/>
      <c r="SYT15" s="66"/>
      <c r="SYU15" s="66"/>
      <c r="SYV15" s="66"/>
      <c r="SYW15" s="66"/>
      <c r="SYX15" s="66"/>
      <c r="SYY15" s="66"/>
      <c r="SYZ15" s="66"/>
      <c r="SZA15" s="66"/>
      <c r="SZB15" s="66"/>
      <c r="SZC15" s="66"/>
      <c r="SZD15" s="66"/>
      <c r="SZE15" s="66"/>
      <c r="SZF15" s="66"/>
      <c r="SZG15" s="66"/>
      <c r="SZH15" s="66"/>
      <c r="SZI15" s="66"/>
      <c r="SZJ15" s="66"/>
      <c r="SZK15" s="66"/>
      <c r="SZL15" s="66"/>
      <c r="SZM15" s="66"/>
      <c r="SZN15" s="66"/>
      <c r="SZO15" s="66"/>
      <c r="SZP15" s="66"/>
      <c r="SZQ15" s="66"/>
      <c r="SZR15" s="66"/>
      <c r="SZS15" s="66"/>
      <c r="SZT15" s="66"/>
      <c r="SZU15" s="66"/>
      <c r="SZV15" s="66"/>
      <c r="SZW15" s="66"/>
      <c r="SZX15" s="66"/>
      <c r="SZY15" s="66"/>
      <c r="SZZ15" s="66"/>
      <c r="TAA15" s="66"/>
      <c r="TAB15" s="66"/>
      <c r="TAC15" s="66"/>
      <c r="TAD15" s="66"/>
      <c r="TAE15" s="66"/>
      <c r="TAF15" s="66"/>
      <c r="TAG15" s="66"/>
      <c r="TAH15" s="66"/>
      <c r="TAI15" s="66"/>
      <c r="TAJ15" s="66"/>
      <c r="TAK15" s="66"/>
      <c r="TAL15" s="66"/>
      <c r="TAM15" s="66"/>
      <c r="TAN15" s="66"/>
      <c r="TAO15" s="66"/>
      <c r="TAP15" s="66"/>
      <c r="TAQ15" s="66"/>
      <c r="TAR15" s="66"/>
      <c r="TAS15" s="66"/>
      <c r="TAT15" s="66"/>
      <c r="TAU15" s="66"/>
      <c r="TAV15" s="66"/>
      <c r="TAW15" s="66"/>
      <c r="TAX15" s="66"/>
      <c r="TAY15" s="66"/>
      <c r="TAZ15" s="66"/>
      <c r="TBA15" s="66"/>
      <c r="TBB15" s="66"/>
      <c r="TBC15" s="66"/>
      <c r="TBD15" s="66"/>
      <c r="TBE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F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T15" s="66"/>
      <c r="TCU15" s="66"/>
      <c r="TCV15" s="66"/>
      <c r="TCW15" s="66"/>
      <c r="TCX15" s="66"/>
      <c r="TCY15" s="66"/>
      <c r="TCZ15" s="66"/>
      <c r="TDA15" s="66"/>
      <c r="TDB15" s="66"/>
      <c r="TDC15" s="66"/>
      <c r="TDD15" s="66"/>
      <c r="TDE15" s="66"/>
      <c r="TDF15" s="66"/>
      <c r="TDG15" s="66"/>
      <c r="TDH15" s="66"/>
      <c r="TDI15" s="66"/>
      <c r="TDJ15" s="66"/>
      <c r="TDK15" s="66"/>
      <c r="TDL15" s="66"/>
      <c r="TDM15" s="66"/>
      <c r="TDN15" s="66"/>
      <c r="TDO15" s="66"/>
      <c r="TDP15" s="66"/>
      <c r="TDQ15" s="66"/>
      <c r="TDR15" s="66"/>
      <c r="TDS15" s="66"/>
      <c r="TDT15" s="66"/>
      <c r="TDU15" s="66"/>
      <c r="TDV15" s="66"/>
      <c r="TDW15" s="66"/>
      <c r="TDX15" s="66"/>
      <c r="TDY15" s="66"/>
      <c r="TDZ15" s="66"/>
      <c r="TEA15" s="66"/>
      <c r="TEB15" s="66"/>
      <c r="TEC15" s="66"/>
      <c r="TED15" s="66"/>
      <c r="TEE15" s="66"/>
      <c r="TEF15" s="66"/>
      <c r="TEG15" s="66"/>
      <c r="TEH15" s="66"/>
      <c r="TEI15" s="66"/>
      <c r="TEJ15" s="66"/>
      <c r="TEK15" s="66"/>
      <c r="TEL15" s="66"/>
      <c r="TEM15" s="66"/>
      <c r="TEN15" s="66"/>
      <c r="TEO15" s="66"/>
      <c r="TEP15" s="66"/>
      <c r="TEQ15" s="66"/>
      <c r="TER15" s="66"/>
      <c r="TES15" s="66"/>
      <c r="TET15" s="66"/>
      <c r="TEU15" s="66"/>
      <c r="TEV15" s="66"/>
      <c r="TEW15" s="66"/>
      <c r="TEX15" s="66"/>
      <c r="TEY15" s="66"/>
      <c r="TEZ15" s="66"/>
      <c r="TFA15" s="66"/>
      <c r="TFB15" s="66"/>
      <c r="TFC15" s="66"/>
      <c r="TFD15" s="66"/>
      <c r="TFE15" s="66"/>
      <c r="TFF15" s="66"/>
      <c r="TFG15" s="66"/>
      <c r="TFH15" s="66"/>
      <c r="TFI15" s="66"/>
      <c r="TFJ15" s="66"/>
      <c r="TFK15" s="66"/>
      <c r="TFL15" s="66"/>
      <c r="TFM15" s="66"/>
      <c r="TFN15" s="66"/>
      <c r="TFO15" s="66"/>
      <c r="TFP15" s="66"/>
      <c r="TFQ15" s="66"/>
      <c r="TFR15" s="66"/>
      <c r="TFS15" s="66"/>
      <c r="TFT15" s="66"/>
      <c r="TFU15" s="66"/>
      <c r="TFV15" s="66"/>
      <c r="TFW15" s="66"/>
      <c r="TFX15" s="66"/>
      <c r="TFY15" s="66"/>
      <c r="TFZ15" s="66"/>
      <c r="TGA15" s="66"/>
      <c r="TGB15" s="66"/>
      <c r="TGC15" s="66"/>
      <c r="TGD15" s="66"/>
      <c r="TGE15" s="66"/>
      <c r="TGF15" s="66"/>
      <c r="TGG15" s="66"/>
      <c r="TGH15" s="66"/>
      <c r="TGI15" s="66"/>
      <c r="TGJ15" s="66"/>
      <c r="TGK15" s="66"/>
      <c r="TGL15" s="66"/>
      <c r="TGM15" s="66"/>
      <c r="TGN15" s="66"/>
      <c r="TGO15" s="66"/>
      <c r="TGP15" s="66"/>
      <c r="TGQ15" s="66"/>
      <c r="TGR15" s="66"/>
      <c r="TGS15" s="66"/>
      <c r="TGT15" s="66"/>
      <c r="TGU15" s="66"/>
      <c r="TGV15" s="66"/>
      <c r="TGW15" s="66"/>
      <c r="TGX15" s="66"/>
      <c r="TGY15" s="66"/>
      <c r="TGZ15" s="66"/>
      <c r="THA15" s="66"/>
      <c r="THB15" s="66"/>
      <c r="THC15" s="66"/>
      <c r="THD15" s="66"/>
      <c r="THE15" s="66"/>
      <c r="THF15" s="66"/>
      <c r="THG15" s="66"/>
      <c r="THH15" s="66"/>
      <c r="THI15" s="66"/>
      <c r="THJ15" s="66"/>
      <c r="THK15" s="66"/>
      <c r="THL15" s="66"/>
      <c r="THM15" s="66"/>
      <c r="THN15" s="66"/>
      <c r="THO15" s="66"/>
      <c r="THP15" s="66"/>
      <c r="THQ15" s="66"/>
      <c r="THR15" s="66"/>
      <c r="THS15" s="66"/>
      <c r="THT15" s="66"/>
      <c r="THU15" s="66"/>
      <c r="THV15" s="66"/>
      <c r="THW15" s="66"/>
      <c r="THX15" s="66"/>
      <c r="THY15" s="66"/>
      <c r="THZ15" s="66"/>
      <c r="TIA15" s="66"/>
      <c r="TIB15" s="66"/>
      <c r="TIC15" s="66"/>
      <c r="TID15" s="66"/>
      <c r="TIE15" s="66"/>
      <c r="TIF15" s="66"/>
      <c r="TIG15" s="66"/>
      <c r="TIH15" s="66"/>
      <c r="TII15" s="66"/>
      <c r="TIJ15" s="66"/>
      <c r="TIK15" s="66"/>
      <c r="TIL15" s="66"/>
      <c r="TIM15" s="66"/>
      <c r="TIN15" s="66"/>
      <c r="TIO15" s="66"/>
      <c r="TIP15" s="66"/>
      <c r="TIQ15" s="66"/>
      <c r="TIR15" s="66"/>
      <c r="TIS15" s="66"/>
      <c r="TIT15" s="66"/>
      <c r="TIU15" s="66"/>
      <c r="TIV15" s="66"/>
      <c r="TIW15" s="66"/>
      <c r="TIX15" s="66"/>
      <c r="TIY15" s="66"/>
      <c r="TIZ15" s="66"/>
      <c r="TJA15" s="66"/>
      <c r="TJB15" s="66"/>
      <c r="TJC15" s="66"/>
      <c r="TJD15" s="66"/>
      <c r="TJE15" s="66"/>
      <c r="TJF15" s="66"/>
      <c r="TJG15" s="66"/>
      <c r="TJH15" s="66"/>
      <c r="TJI15" s="66"/>
      <c r="TJJ15" s="66"/>
      <c r="TJK15" s="66"/>
      <c r="TJL15" s="66"/>
      <c r="TJM15" s="66"/>
      <c r="TJN15" s="66"/>
      <c r="TJO15" s="66"/>
      <c r="TJP15" s="66"/>
      <c r="TJQ15" s="66"/>
      <c r="TJR15" s="66"/>
      <c r="TJS15" s="66"/>
      <c r="TJT15" s="66"/>
      <c r="TJU15" s="66"/>
      <c r="TJV15" s="66"/>
      <c r="TJW15" s="66"/>
      <c r="TJX15" s="66"/>
      <c r="TJY15" s="66"/>
      <c r="TJZ15" s="66"/>
      <c r="TKA15" s="66"/>
      <c r="TKB15" s="66"/>
      <c r="TKC15" s="66"/>
      <c r="TKD15" s="66"/>
      <c r="TKE15" s="66"/>
      <c r="TKF15" s="66"/>
      <c r="TKG15" s="66"/>
      <c r="TKH15" s="66"/>
      <c r="TKI15" s="66"/>
      <c r="TKJ15" s="66"/>
      <c r="TKK15" s="66"/>
      <c r="TKL15" s="66"/>
      <c r="TKM15" s="66"/>
      <c r="TKN15" s="66"/>
      <c r="TKO15" s="66"/>
      <c r="TKP15" s="66"/>
      <c r="TKQ15" s="66"/>
      <c r="TKR15" s="66"/>
      <c r="TKS15" s="66"/>
      <c r="TKT15" s="66"/>
      <c r="TKU15" s="66"/>
      <c r="TKV15" s="66"/>
      <c r="TKW15" s="66"/>
      <c r="TKX15" s="66"/>
      <c r="TKY15" s="66"/>
      <c r="TKZ15" s="66"/>
      <c r="TLA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B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P15" s="66"/>
      <c r="TMQ15" s="66"/>
      <c r="TMR15" s="66"/>
      <c r="TMS15" s="66"/>
      <c r="TMT15" s="66"/>
      <c r="TMU15" s="66"/>
      <c r="TMV15" s="66"/>
      <c r="TMW15" s="66"/>
      <c r="TMX15" s="66"/>
      <c r="TMY15" s="66"/>
      <c r="TMZ15" s="66"/>
      <c r="TNA15" s="66"/>
      <c r="TNB15" s="66"/>
      <c r="TNC15" s="66"/>
      <c r="TND15" s="66"/>
      <c r="TNE15" s="66"/>
      <c r="TNF15" s="66"/>
      <c r="TNG15" s="66"/>
      <c r="TNH15" s="66"/>
      <c r="TNI15" s="66"/>
      <c r="TNJ15" s="66"/>
      <c r="TNK15" s="66"/>
      <c r="TNL15" s="66"/>
      <c r="TNM15" s="66"/>
      <c r="TNN15" s="66"/>
      <c r="TNO15" s="66"/>
      <c r="TNP15" s="66"/>
      <c r="TNQ15" s="66"/>
      <c r="TNR15" s="66"/>
      <c r="TNS15" s="66"/>
      <c r="TNT15" s="66"/>
      <c r="TNU15" s="66"/>
      <c r="TNV15" s="66"/>
      <c r="TNW15" s="66"/>
      <c r="TNX15" s="66"/>
      <c r="TNY15" s="66"/>
      <c r="TNZ15" s="66"/>
      <c r="TOA15" s="66"/>
      <c r="TOB15" s="66"/>
      <c r="TOC15" s="66"/>
      <c r="TOD15" s="66"/>
      <c r="TOE15" s="66"/>
      <c r="TOF15" s="66"/>
      <c r="TOG15" s="66"/>
      <c r="TOH15" s="66"/>
      <c r="TOI15" s="66"/>
      <c r="TOJ15" s="66"/>
      <c r="TOK15" s="66"/>
      <c r="TOL15" s="66"/>
      <c r="TOM15" s="66"/>
      <c r="TON15" s="66"/>
      <c r="TOO15" s="66"/>
      <c r="TOP15" s="66"/>
      <c r="TOQ15" s="66"/>
      <c r="TOR15" s="66"/>
      <c r="TOS15" s="66"/>
      <c r="TOT15" s="66"/>
      <c r="TOU15" s="66"/>
      <c r="TOV15" s="66"/>
      <c r="TOW15" s="66"/>
      <c r="TOX15" s="66"/>
      <c r="TOY15" s="66"/>
      <c r="TOZ15" s="66"/>
      <c r="TPA15" s="66"/>
      <c r="TPB15" s="66"/>
      <c r="TPC15" s="66"/>
      <c r="TPD15" s="66"/>
      <c r="TPE15" s="66"/>
      <c r="TPF15" s="66"/>
      <c r="TPG15" s="66"/>
      <c r="TPH15" s="66"/>
      <c r="TPI15" s="66"/>
      <c r="TPJ15" s="66"/>
      <c r="TPK15" s="66"/>
      <c r="TPL15" s="66"/>
      <c r="TPM15" s="66"/>
      <c r="TPN15" s="66"/>
      <c r="TPO15" s="66"/>
      <c r="TPP15" s="66"/>
      <c r="TPQ15" s="66"/>
      <c r="TPR15" s="66"/>
      <c r="TPS15" s="66"/>
      <c r="TPT15" s="66"/>
      <c r="TPU15" s="66"/>
      <c r="TPV15" s="66"/>
      <c r="TPW15" s="66"/>
      <c r="TPX15" s="66"/>
      <c r="TPY15" s="66"/>
      <c r="TPZ15" s="66"/>
      <c r="TQA15" s="66"/>
      <c r="TQB15" s="66"/>
      <c r="TQC15" s="66"/>
      <c r="TQD15" s="66"/>
      <c r="TQE15" s="66"/>
      <c r="TQF15" s="66"/>
      <c r="TQG15" s="66"/>
      <c r="TQH15" s="66"/>
      <c r="TQI15" s="66"/>
      <c r="TQJ15" s="66"/>
      <c r="TQK15" s="66"/>
      <c r="TQL15" s="66"/>
      <c r="TQM15" s="66"/>
      <c r="TQN15" s="66"/>
      <c r="TQO15" s="66"/>
      <c r="TQP15" s="66"/>
      <c r="TQQ15" s="66"/>
      <c r="TQR15" s="66"/>
      <c r="TQS15" s="66"/>
      <c r="TQT15" s="66"/>
      <c r="TQU15" s="66"/>
      <c r="TQV15" s="66"/>
      <c r="TQW15" s="66"/>
      <c r="TQX15" s="66"/>
      <c r="TQY15" s="66"/>
      <c r="TQZ15" s="66"/>
      <c r="TRA15" s="66"/>
      <c r="TRB15" s="66"/>
      <c r="TRC15" s="66"/>
      <c r="TRD15" s="66"/>
      <c r="TRE15" s="66"/>
      <c r="TRF15" s="66"/>
      <c r="TRG15" s="66"/>
      <c r="TRH15" s="66"/>
      <c r="TRI15" s="66"/>
      <c r="TRJ15" s="66"/>
      <c r="TRK15" s="66"/>
      <c r="TRL15" s="66"/>
      <c r="TRM15" s="66"/>
      <c r="TRN15" s="66"/>
      <c r="TRO15" s="66"/>
      <c r="TRP15" s="66"/>
      <c r="TRQ15" s="66"/>
      <c r="TRR15" s="66"/>
      <c r="TRS15" s="66"/>
      <c r="TRT15" s="66"/>
      <c r="TRU15" s="66"/>
      <c r="TRV15" s="66"/>
      <c r="TRW15" s="66"/>
      <c r="TRX15" s="66"/>
      <c r="TRY15" s="66"/>
      <c r="TRZ15" s="66"/>
      <c r="TSA15" s="66"/>
      <c r="TSB15" s="66"/>
      <c r="TSC15" s="66"/>
      <c r="TSD15" s="66"/>
      <c r="TSE15" s="66"/>
      <c r="TSF15" s="66"/>
      <c r="TSG15" s="66"/>
      <c r="TSH15" s="66"/>
      <c r="TSI15" s="66"/>
      <c r="TSJ15" s="66"/>
      <c r="TSK15" s="66"/>
      <c r="TSL15" s="66"/>
      <c r="TSM15" s="66"/>
      <c r="TSN15" s="66"/>
      <c r="TSO15" s="66"/>
      <c r="TSP15" s="66"/>
      <c r="TSQ15" s="66"/>
      <c r="TSR15" s="66"/>
      <c r="TSS15" s="66"/>
      <c r="TST15" s="66"/>
      <c r="TSU15" s="66"/>
      <c r="TSV15" s="66"/>
      <c r="TSW15" s="66"/>
      <c r="TSX15" s="66"/>
      <c r="TSY15" s="66"/>
      <c r="TSZ15" s="66"/>
      <c r="TTA15" s="66"/>
      <c r="TTB15" s="66"/>
      <c r="TTC15" s="66"/>
      <c r="TTD15" s="66"/>
      <c r="TTE15" s="66"/>
      <c r="TTF15" s="66"/>
      <c r="TTG15" s="66"/>
      <c r="TTH15" s="66"/>
      <c r="TTI15" s="66"/>
      <c r="TTJ15" s="66"/>
      <c r="TTK15" s="66"/>
      <c r="TTL15" s="66"/>
      <c r="TTM15" s="66"/>
      <c r="TTN15" s="66"/>
      <c r="TTO15" s="66"/>
      <c r="TTP15" s="66"/>
      <c r="TTQ15" s="66"/>
      <c r="TTR15" s="66"/>
      <c r="TTS15" s="66"/>
      <c r="TTT15" s="66"/>
      <c r="TTU15" s="66"/>
      <c r="TTV15" s="66"/>
      <c r="TTW15" s="66"/>
      <c r="TTX15" s="66"/>
      <c r="TTY15" s="66"/>
      <c r="TTZ15" s="66"/>
      <c r="TUA15" s="66"/>
      <c r="TUB15" s="66"/>
      <c r="TUC15" s="66"/>
      <c r="TUD15" s="66"/>
      <c r="TUE15" s="66"/>
      <c r="TUF15" s="66"/>
      <c r="TUG15" s="66"/>
      <c r="TUH15" s="66"/>
      <c r="TUI15" s="66"/>
      <c r="TUJ15" s="66"/>
      <c r="TUK15" s="66"/>
      <c r="TUL15" s="66"/>
      <c r="TUM15" s="66"/>
      <c r="TUN15" s="66"/>
      <c r="TUO15" s="66"/>
      <c r="TUP15" s="66"/>
      <c r="TUQ15" s="66"/>
      <c r="TUR15" s="66"/>
      <c r="TUS15" s="66"/>
      <c r="TUT15" s="66"/>
      <c r="TUU15" s="66"/>
      <c r="TUV15" s="66"/>
      <c r="TUW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X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L15" s="66"/>
      <c r="TWM15" s="66"/>
      <c r="TWN15" s="66"/>
      <c r="TWO15" s="66"/>
      <c r="TWP15" s="66"/>
      <c r="TWQ15" s="66"/>
      <c r="TWR15" s="66"/>
      <c r="TWS15" s="66"/>
      <c r="TWT15" s="66"/>
      <c r="TWU15" s="66"/>
      <c r="TWV15" s="66"/>
      <c r="TWW15" s="66"/>
      <c r="TWX15" s="66"/>
      <c r="TWY15" s="66"/>
      <c r="TWZ15" s="66"/>
      <c r="TXA15" s="66"/>
      <c r="TXB15" s="66"/>
      <c r="TXC15" s="66"/>
      <c r="TXD15" s="66"/>
      <c r="TXE15" s="66"/>
      <c r="TXF15" s="66"/>
      <c r="TXG15" s="66"/>
      <c r="TXH15" s="66"/>
      <c r="TXI15" s="66"/>
      <c r="TXJ15" s="66"/>
      <c r="TXK15" s="66"/>
      <c r="TXL15" s="66"/>
      <c r="TXM15" s="66"/>
      <c r="TXN15" s="66"/>
      <c r="TXO15" s="66"/>
      <c r="TXP15" s="66"/>
      <c r="TXQ15" s="66"/>
      <c r="TXR15" s="66"/>
      <c r="TXS15" s="66"/>
      <c r="TXT15" s="66"/>
      <c r="TXU15" s="66"/>
      <c r="TXV15" s="66"/>
      <c r="TXW15" s="66"/>
      <c r="TXX15" s="66"/>
      <c r="TXY15" s="66"/>
      <c r="TXZ15" s="66"/>
      <c r="TYA15" s="66"/>
      <c r="TYB15" s="66"/>
      <c r="TYC15" s="66"/>
      <c r="TYD15" s="66"/>
      <c r="TYE15" s="66"/>
      <c r="TYF15" s="66"/>
      <c r="TYG15" s="66"/>
      <c r="TYH15" s="66"/>
      <c r="TYI15" s="66"/>
      <c r="TYJ15" s="66"/>
      <c r="TYK15" s="66"/>
      <c r="TYL15" s="66"/>
      <c r="TYM15" s="66"/>
      <c r="TYN15" s="66"/>
      <c r="TYO15" s="66"/>
      <c r="TYP15" s="66"/>
      <c r="TYQ15" s="66"/>
      <c r="TYR15" s="66"/>
      <c r="TYS15" s="66"/>
      <c r="TYT15" s="66"/>
      <c r="TYU15" s="66"/>
      <c r="TYV15" s="66"/>
      <c r="TYW15" s="66"/>
      <c r="TYX15" s="66"/>
      <c r="TYY15" s="66"/>
      <c r="TYZ15" s="66"/>
      <c r="TZA15" s="66"/>
      <c r="TZB15" s="66"/>
      <c r="TZC15" s="66"/>
      <c r="TZD15" s="66"/>
      <c r="TZE15" s="66"/>
      <c r="TZF15" s="66"/>
      <c r="TZG15" s="66"/>
      <c r="TZH15" s="66"/>
      <c r="TZI15" s="66"/>
      <c r="TZJ15" s="66"/>
      <c r="TZK15" s="66"/>
      <c r="TZL15" s="66"/>
      <c r="TZM15" s="66"/>
      <c r="TZN15" s="66"/>
      <c r="TZO15" s="66"/>
      <c r="TZP15" s="66"/>
      <c r="TZQ15" s="66"/>
      <c r="TZR15" s="66"/>
      <c r="TZS15" s="66"/>
      <c r="TZT15" s="66"/>
      <c r="TZU15" s="66"/>
      <c r="TZV15" s="66"/>
      <c r="TZW15" s="66"/>
      <c r="TZX15" s="66"/>
      <c r="TZY15" s="66"/>
      <c r="TZZ15" s="66"/>
      <c r="UAA15" s="66"/>
      <c r="UAB15" s="66"/>
      <c r="UAC15" s="66"/>
      <c r="UAD15" s="66"/>
      <c r="UAE15" s="66"/>
      <c r="UAF15" s="66"/>
      <c r="UAG15" s="66"/>
      <c r="UAH15" s="66"/>
      <c r="UAI15" s="66"/>
      <c r="UAJ15" s="66"/>
      <c r="UAK15" s="66"/>
      <c r="UAL15" s="66"/>
      <c r="UAM15" s="66"/>
      <c r="UAN15" s="66"/>
      <c r="UAO15" s="66"/>
      <c r="UAP15" s="66"/>
      <c r="UAQ15" s="66"/>
      <c r="UAR15" s="66"/>
      <c r="UAS15" s="66"/>
      <c r="UAT15" s="66"/>
      <c r="UAU15" s="66"/>
      <c r="UAV15" s="66"/>
      <c r="UAW15" s="66"/>
      <c r="UAX15" s="66"/>
      <c r="UAY15" s="66"/>
      <c r="UAZ15" s="66"/>
      <c r="UBA15" s="66"/>
      <c r="UBB15" s="66"/>
      <c r="UBC15" s="66"/>
      <c r="UBD15" s="66"/>
      <c r="UBE15" s="66"/>
      <c r="UBF15" s="66"/>
      <c r="UBG15" s="66"/>
      <c r="UBH15" s="66"/>
      <c r="UBI15" s="66"/>
      <c r="UBJ15" s="66"/>
      <c r="UBK15" s="66"/>
      <c r="UBL15" s="66"/>
      <c r="UBM15" s="66"/>
      <c r="UBN15" s="66"/>
      <c r="UBO15" s="66"/>
      <c r="UBP15" s="66"/>
      <c r="UBQ15" s="66"/>
      <c r="UBR15" s="66"/>
      <c r="UBS15" s="66"/>
      <c r="UBT15" s="66"/>
      <c r="UBU15" s="66"/>
      <c r="UBV15" s="66"/>
      <c r="UBW15" s="66"/>
      <c r="UBX15" s="66"/>
      <c r="UBY15" s="66"/>
      <c r="UBZ15" s="66"/>
      <c r="UCA15" s="66"/>
      <c r="UCB15" s="66"/>
      <c r="UCC15" s="66"/>
      <c r="UCD15" s="66"/>
      <c r="UCE15" s="66"/>
      <c r="UCF15" s="66"/>
      <c r="UCG15" s="66"/>
      <c r="UCH15" s="66"/>
      <c r="UCI15" s="66"/>
      <c r="UCJ15" s="66"/>
      <c r="UCK15" s="66"/>
      <c r="UCL15" s="66"/>
      <c r="UCM15" s="66"/>
      <c r="UCN15" s="66"/>
      <c r="UCO15" s="66"/>
      <c r="UCP15" s="66"/>
      <c r="UCQ15" s="66"/>
      <c r="UCR15" s="66"/>
      <c r="UCS15" s="66"/>
      <c r="UCT15" s="66"/>
      <c r="UCU15" s="66"/>
      <c r="UCV15" s="66"/>
      <c r="UCW15" s="66"/>
      <c r="UCX15" s="66"/>
      <c r="UCY15" s="66"/>
      <c r="UCZ15" s="66"/>
      <c r="UDA15" s="66"/>
      <c r="UDB15" s="66"/>
      <c r="UDC15" s="66"/>
      <c r="UDD15" s="66"/>
      <c r="UDE15" s="66"/>
      <c r="UDF15" s="66"/>
      <c r="UDG15" s="66"/>
      <c r="UDH15" s="66"/>
      <c r="UDI15" s="66"/>
      <c r="UDJ15" s="66"/>
      <c r="UDK15" s="66"/>
      <c r="UDL15" s="66"/>
      <c r="UDM15" s="66"/>
      <c r="UDN15" s="66"/>
      <c r="UDO15" s="66"/>
      <c r="UDP15" s="66"/>
      <c r="UDQ15" s="66"/>
      <c r="UDR15" s="66"/>
      <c r="UDS15" s="66"/>
      <c r="UDT15" s="66"/>
      <c r="UDU15" s="66"/>
      <c r="UDV15" s="66"/>
      <c r="UDW15" s="66"/>
      <c r="UDX15" s="66"/>
      <c r="UDY15" s="66"/>
      <c r="UDZ15" s="66"/>
      <c r="UEA15" s="66"/>
      <c r="UEB15" s="66"/>
      <c r="UEC15" s="66"/>
      <c r="UED15" s="66"/>
      <c r="UEE15" s="66"/>
      <c r="UEF15" s="66"/>
      <c r="UEG15" s="66"/>
      <c r="UEH15" s="66"/>
      <c r="UEI15" s="66"/>
      <c r="UEJ15" s="66"/>
      <c r="UEK15" s="66"/>
      <c r="UEL15" s="66"/>
      <c r="UEM15" s="66"/>
      <c r="UEN15" s="66"/>
      <c r="UEO15" s="66"/>
      <c r="UEP15" s="66"/>
      <c r="UEQ15" s="66"/>
      <c r="UER15" s="66"/>
      <c r="UES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T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H15" s="66"/>
      <c r="UGI15" s="66"/>
      <c r="UGJ15" s="66"/>
      <c r="UGK15" s="66"/>
      <c r="UGL15" s="66"/>
      <c r="UGM15" s="66"/>
      <c r="UGN15" s="66"/>
      <c r="UGO15" s="66"/>
      <c r="UGP15" s="66"/>
      <c r="UGQ15" s="66"/>
      <c r="UGR15" s="66"/>
      <c r="UGS15" s="66"/>
      <c r="UGT15" s="66"/>
      <c r="UGU15" s="66"/>
      <c r="UGV15" s="66"/>
      <c r="UGW15" s="66"/>
      <c r="UGX15" s="66"/>
      <c r="UGY15" s="66"/>
      <c r="UGZ15" s="66"/>
      <c r="UHA15" s="66"/>
      <c r="UHB15" s="66"/>
      <c r="UHC15" s="66"/>
      <c r="UHD15" s="66"/>
      <c r="UHE15" s="66"/>
      <c r="UHF15" s="66"/>
      <c r="UHG15" s="66"/>
      <c r="UHH15" s="66"/>
      <c r="UHI15" s="66"/>
      <c r="UHJ15" s="66"/>
      <c r="UHK15" s="66"/>
      <c r="UHL15" s="66"/>
      <c r="UHM15" s="66"/>
      <c r="UHN15" s="66"/>
      <c r="UHO15" s="66"/>
      <c r="UHP15" s="66"/>
      <c r="UHQ15" s="66"/>
      <c r="UHR15" s="66"/>
      <c r="UHS15" s="66"/>
      <c r="UHT15" s="66"/>
      <c r="UHU15" s="66"/>
      <c r="UHV15" s="66"/>
      <c r="UHW15" s="66"/>
      <c r="UHX15" s="66"/>
      <c r="UHY15" s="66"/>
      <c r="UHZ15" s="66"/>
      <c r="UIA15" s="66"/>
      <c r="UIB15" s="66"/>
      <c r="UIC15" s="66"/>
      <c r="UID15" s="66"/>
      <c r="UIE15" s="66"/>
      <c r="UIF15" s="66"/>
      <c r="UIG15" s="66"/>
      <c r="UIH15" s="66"/>
      <c r="UII15" s="66"/>
      <c r="UIJ15" s="66"/>
      <c r="UIK15" s="66"/>
      <c r="UIL15" s="66"/>
      <c r="UIM15" s="66"/>
      <c r="UIN15" s="66"/>
      <c r="UIO15" s="66"/>
      <c r="UIP15" s="66"/>
      <c r="UIQ15" s="66"/>
      <c r="UIR15" s="66"/>
      <c r="UIS15" s="66"/>
      <c r="UIT15" s="66"/>
      <c r="UIU15" s="66"/>
      <c r="UIV15" s="66"/>
      <c r="UIW15" s="66"/>
      <c r="UIX15" s="66"/>
      <c r="UIY15" s="66"/>
      <c r="UIZ15" s="66"/>
      <c r="UJA15" s="66"/>
      <c r="UJB15" s="66"/>
      <c r="UJC15" s="66"/>
      <c r="UJD15" s="66"/>
      <c r="UJE15" s="66"/>
      <c r="UJF15" s="66"/>
      <c r="UJG15" s="66"/>
      <c r="UJH15" s="66"/>
      <c r="UJI15" s="66"/>
      <c r="UJJ15" s="66"/>
      <c r="UJK15" s="66"/>
      <c r="UJL15" s="66"/>
      <c r="UJM15" s="66"/>
      <c r="UJN15" s="66"/>
      <c r="UJO15" s="66"/>
      <c r="UJP15" s="66"/>
      <c r="UJQ15" s="66"/>
      <c r="UJR15" s="66"/>
      <c r="UJS15" s="66"/>
      <c r="UJT15" s="66"/>
      <c r="UJU15" s="66"/>
      <c r="UJV15" s="66"/>
      <c r="UJW15" s="66"/>
      <c r="UJX15" s="66"/>
      <c r="UJY15" s="66"/>
      <c r="UJZ15" s="66"/>
      <c r="UKA15" s="66"/>
      <c r="UKB15" s="66"/>
      <c r="UKC15" s="66"/>
      <c r="UKD15" s="66"/>
      <c r="UKE15" s="66"/>
      <c r="UKF15" s="66"/>
      <c r="UKG15" s="66"/>
      <c r="UKH15" s="66"/>
      <c r="UKI15" s="66"/>
      <c r="UKJ15" s="66"/>
      <c r="UKK15" s="66"/>
      <c r="UKL15" s="66"/>
      <c r="UKM15" s="66"/>
      <c r="UKN15" s="66"/>
      <c r="UKO15" s="66"/>
      <c r="UKP15" s="66"/>
      <c r="UKQ15" s="66"/>
      <c r="UKR15" s="66"/>
      <c r="UKS15" s="66"/>
      <c r="UKT15" s="66"/>
      <c r="UKU15" s="66"/>
      <c r="UKV15" s="66"/>
      <c r="UKW15" s="66"/>
      <c r="UKX15" s="66"/>
      <c r="UKY15" s="66"/>
      <c r="UKZ15" s="66"/>
      <c r="ULA15" s="66"/>
      <c r="ULB15" s="66"/>
      <c r="ULC15" s="66"/>
      <c r="ULD15" s="66"/>
      <c r="ULE15" s="66"/>
      <c r="ULF15" s="66"/>
      <c r="ULG15" s="66"/>
      <c r="ULH15" s="66"/>
      <c r="ULI15" s="66"/>
      <c r="ULJ15" s="66"/>
      <c r="ULK15" s="66"/>
      <c r="ULL15" s="66"/>
      <c r="ULM15" s="66"/>
      <c r="ULN15" s="66"/>
      <c r="ULO15" s="66"/>
      <c r="ULP15" s="66"/>
      <c r="ULQ15" s="66"/>
      <c r="ULR15" s="66"/>
      <c r="ULS15" s="66"/>
      <c r="ULT15" s="66"/>
      <c r="ULU15" s="66"/>
      <c r="ULV15" s="66"/>
      <c r="ULW15" s="66"/>
      <c r="ULX15" s="66"/>
      <c r="ULY15" s="66"/>
      <c r="ULZ15" s="66"/>
      <c r="UMA15" s="66"/>
      <c r="UMB15" s="66"/>
      <c r="UMC15" s="66"/>
      <c r="UMD15" s="66"/>
      <c r="UME15" s="66"/>
      <c r="UMF15" s="66"/>
      <c r="UMG15" s="66"/>
      <c r="UMH15" s="66"/>
      <c r="UMI15" s="66"/>
      <c r="UMJ15" s="66"/>
      <c r="UMK15" s="66"/>
      <c r="UML15" s="66"/>
      <c r="UMM15" s="66"/>
      <c r="UMN15" s="66"/>
      <c r="UMO15" s="66"/>
      <c r="UMP15" s="66"/>
      <c r="UMQ15" s="66"/>
      <c r="UMR15" s="66"/>
      <c r="UMS15" s="66"/>
      <c r="UMT15" s="66"/>
      <c r="UMU15" s="66"/>
      <c r="UMV15" s="66"/>
      <c r="UMW15" s="66"/>
      <c r="UMX15" s="66"/>
      <c r="UMY15" s="66"/>
      <c r="UMZ15" s="66"/>
      <c r="UNA15" s="66"/>
      <c r="UNB15" s="66"/>
      <c r="UNC15" s="66"/>
      <c r="UND15" s="66"/>
      <c r="UNE15" s="66"/>
      <c r="UNF15" s="66"/>
      <c r="UNG15" s="66"/>
      <c r="UNH15" s="66"/>
      <c r="UNI15" s="66"/>
      <c r="UNJ15" s="66"/>
      <c r="UNK15" s="66"/>
      <c r="UNL15" s="66"/>
      <c r="UNM15" s="66"/>
      <c r="UNN15" s="66"/>
      <c r="UNO15" s="66"/>
      <c r="UNP15" s="66"/>
      <c r="UNQ15" s="66"/>
      <c r="UNR15" s="66"/>
      <c r="UNS15" s="66"/>
      <c r="UNT15" s="66"/>
      <c r="UNU15" s="66"/>
      <c r="UNV15" s="66"/>
      <c r="UNW15" s="66"/>
      <c r="UNX15" s="66"/>
      <c r="UNY15" s="66"/>
      <c r="UNZ15" s="66"/>
      <c r="UOA15" s="66"/>
      <c r="UOB15" s="66"/>
      <c r="UOC15" s="66"/>
      <c r="UOD15" s="66"/>
      <c r="UOE15" s="66"/>
      <c r="UOF15" s="66"/>
      <c r="UOG15" s="66"/>
      <c r="UOH15" s="66"/>
      <c r="UOI15" s="66"/>
      <c r="UOJ15" s="66"/>
      <c r="UOK15" s="66"/>
      <c r="UOL15" s="66"/>
      <c r="UOM15" s="66"/>
      <c r="UON15" s="66"/>
      <c r="UOO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P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D15" s="66"/>
      <c r="UQE15" s="66"/>
      <c r="UQF15" s="66"/>
      <c r="UQG15" s="66"/>
      <c r="UQH15" s="66"/>
      <c r="UQI15" s="66"/>
      <c r="UQJ15" s="66"/>
      <c r="UQK15" s="66"/>
      <c r="UQL15" s="66"/>
      <c r="UQM15" s="66"/>
      <c r="UQN15" s="66"/>
      <c r="UQO15" s="66"/>
      <c r="UQP15" s="66"/>
      <c r="UQQ15" s="66"/>
      <c r="UQR15" s="66"/>
      <c r="UQS15" s="66"/>
      <c r="UQT15" s="66"/>
      <c r="UQU15" s="66"/>
      <c r="UQV15" s="66"/>
      <c r="UQW15" s="66"/>
      <c r="UQX15" s="66"/>
      <c r="UQY15" s="66"/>
      <c r="UQZ15" s="66"/>
      <c r="URA15" s="66"/>
      <c r="URB15" s="66"/>
      <c r="URC15" s="66"/>
      <c r="URD15" s="66"/>
      <c r="URE15" s="66"/>
      <c r="URF15" s="66"/>
      <c r="URG15" s="66"/>
      <c r="URH15" s="66"/>
      <c r="URI15" s="66"/>
      <c r="URJ15" s="66"/>
      <c r="URK15" s="66"/>
      <c r="URL15" s="66"/>
      <c r="URM15" s="66"/>
      <c r="URN15" s="66"/>
      <c r="URO15" s="66"/>
      <c r="URP15" s="66"/>
      <c r="URQ15" s="66"/>
      <c r="URR15" s="66"/>
      <c r="URS15" s="66"/>
      <c r="URT15" s="66"/>
      <c r="URU15" s="66"/>
      <c r="URV15" s="66"/>
      <c r="URW15" s="66"/>
      <c r="URX15" s="66"/>
      <c r="URY15" s="66"/>
      <c r="URZ15" s="66"/>
      <c r="USA15" s="66"/>
      <c r="USB15" s="66"/>
      <c r="USC15" s="66"/>
      <c r="USD15" s="66"/>
      <c r="USE15" s="66"/>
      <c r="USF15" s="66"/>
      <c r="USG15" s="66"/>
      <c r="USH15" s="66"/>
      <c r="USI15" s="66"/>
      <c r="USJ15" s="66"/>
      <c r="USK15" s="66"/>
      <c r="USL15" s="66"/>
      <c r="USM15" s="66"/>
      <c r="USN15" s="66"/>
      <c r="USO15" s="66"/>
      <c r="USP15" s="66"/>
      <c r="USQ15" s="66"/>
      <c r="USR15" s="66"/>
      <c r="USS15" s="66"/>
      <c r="UST15" s="66"/>
      <c r="USU15" s="66"/>
      <c r="USV15" s="66"/>
      <c r="USW15" s="66"/>
      <c r="USX15" s="66"/>
      <c r="USY15" s="66"/>
      <c r="USZ15" s="66"/>
      <c r="UTA15" s="66"/>
      <c r="UTB15" s="66"/>
      <c r="UTC15" s="66"/>
      <c r="UTD15" s="66"/>
      <c r="UTE15" s="66"/>
      <c r="UTF15" s="66"/>
      <c r="UTG15" s="66"/>
      <c r="UTH15" s="66"/>
      <c r="UTI15" s="66"/>
      <c r="UTJ15" s="66"/>
      <c r="UTK15" s="66"/>
      <c r="UTL15" s="66"/>
      <c r="UTM15" s="66"/>
      <c r="UTN15" s="66"/>
      <c r="UTO15" s="66"/>
      <c r="UTP15" s="66"/>
      <c r="UTQ15" s="66"/>
      <c r="UTR15" s="66"/>
      <c r="UTS15" s="66"/>
      <c r="UTT15" s="66"/>
      <c r="UTU15" s="66"/>
      <c r="UTV15" s="66"/>
      <c r="UTW15" s="66"/>
      <c r="UTX15" s="66"/>
      <c r="UTY15" s="66"/>
      <c r="UTZ15" s="66"/>
      <c r="UUA15" s="66"/>
      <c r="UUB15" s="66"/>
      <c r="UUC15" s="66"/>
      <c r="UUD15" s="66"/>
      <c r="UUE15" s="66"/>
      <c r="UUF15" s="66"/>
      <c r="UUG15" s="66"/>
      <c r="UUH15" s="66"/>
      <c r="UUI15" s="66"/>
      <c r="UUJ15" s="66"/>
      <c r="UUK15" s="66"/>
      <c r="UUL15" s="66"/>
      <c r="UUM15" s="66"/>
      <c r="UUN15" s="66"/>
      <c r="UUO15" s="66"/>
      <c r="UUP15" s="66"/>
      <c r="UUQ15" s="66"/>
      <c r="UUR15" s="66"/>
      <c r="UUS15" s="66"/>
      <c r="UUT15" s="66"/>
      <c r="UUU15" s="66"/>
      <c r="UUV15" s="66"/>
      <c r="UUW15" s="66"/>
      <c r="UUX15" s="66"/>
      <c r="UUY15" s="66"/>
      <c r="UUZ15" s="66"/>
      <c r="UVA15" s="66"/>
      <c r="UVB15" s="66"/>
      <c r="UVC15" s="66"/>
      <c r="UVD15" s="66"/>
      <c r="UVE15" s="66"/>
      <c r="UVF15" s="66"/>
      <c r="UVG15" s="66"/>
      <c r="UVH15" s="66"/>
      <c r="UVI15" s="66"/>
      <c r="UVJ15" s="66"/>
      <c r="UVK15" s="66"/>
      <c r="UVL15" s="66"/>
      <c r="UVM15" s="66"/>
      <c r="UVN15" s="66"/>
      <c r="UVO15" s="66"/>
      <c r="UVP15" s="66"/>
      <c r="UVQ15" s="66"/>
      <c r="UVR15" s="66"/>
      <c r="UVS15" s="66"/>
      <c r="UVT15" s="66"/>
      <c r="UVU15" s="66"/>
      <c r="UVV15" s="66"/>
      <c r="UVW15" s="66"/>
      <c r="UVX15" s="66"/>
      <c r="UVY15" s="66"/>
      <c r="UVZ15" s="66"/>
      <c r="UWA15" s="66"/>
      <c r="UWB15" s="66"/>
      <c r="UWC15" s="66"/>
      <c r="UWD15" s="66"/>
      <c r="UWE15" s="66"/>
      <c r="UWF15" s="66"/>
      <c r="UWG15" s="66"/>
      <c r="UWH15" s="66"/>
      <c r="UWI15" s="66"/>
      <c r="UWJ15" s="66"/>
      <c r="UWK15" s="66"/>
      <c r="UWL15" s="66"/>
      <c r="UWM15" s="66"/>
      <c r="UWN15" s="66"/>
      <c r="UWO15" s="66"/>
      <c r="UWP15" s="66"/>
      <c r="UWQ15" s="66"/>
      <c r="UWR15" s="66"/>
      <c r="UWS15" s="66"/>
      <c r="UWT15" s="66"/>
      <c r="UWU15" s="66"/>
      <c r="UWV15" s="66"/>
      <c r="UWW15" s="66"/>
      <c r="UWX15" s="66"/>
      <c r="UWY15" s="66"/>
      <c r="UWZ15" s="66"/>
      <c r="UXA15" s="66"/>
      <c r="UXB15" s="66"/>
      <c r="UXC15" s="66"/>
      <c r="UXD15" s="66"/>
      <c r="UXE15" s="66"/>
      <c r="UXF15" s="66"/>
      <c r="UXG15" s="66"/>
      <c r="UXH15" s="66"/>
      <c r="UXI15" s="66"/>
      <c r="UXJ15" s="66"/>
      <c r="UXK15" s="66"/>
      <c r="UXL15" s="66"/>
      <c r="UXM15" s="66"/>
      <c r="UXN15" s="66"/>
      <c r="UXO15" s="66"/>
      <c r="UXP15" s="66"/>
      <c r="UXQ15" s="66"/>
      <c r="UXR15" s="66"/>
      <c r="UXS15" s="66"/>
      <c r="UXT15" s="66"/>
      <c r="UXU15" s="66"/>
      <c r="UXV15" s="66"/>
      <c r="UXW15" s="66"/>
      <c r="UXX15" s="66"/>
      <c r="UXY15" s="66"/>
      <c r="UXZ15" s="66"/>
      <c r="UYA15" s="66"/>
      <c r="UYB15" s="66"/>
      <c r="UYC15" s="66"/>
      <c r="UYD15" s="66"/>
      <c r="UYE15" s="66"/>
      <c r="UYF15" s="66"/>
      <c r="UYG15" s="66"/>
      <c r="UYH15" s="66"/>
      <c r="UYI15" s="66"/>
      <c r="UYJ15" s="66"/>
      <c r="UYK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L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UZZ15" s="66"/>
      <c r="VAA15" s="66"/>
      <c r="VAB15" s="66"/>
      <c r="VAC15" s="66"/>
      <c r="VAD15" s="66"/>
      <c r="VAE15" s="66"/>
      <c r="VAF15" s="66"/>
      <c r="VAG15" s="66"/>
      <c r="VAH15" s="66"/>
      <c r="VAI15" s="66"/>
      <c r="VAJ15" s="66"/>
      <c r="VAK15" s="66"/>
      <c r="VAL15" s="66"/>
      <c r="VAM15" s="66"/>
      <c r="VAN15" s="66"/>
      <c r="VAO15" s="66"/>
      <c r="VAP15" s="66"/>
      <c r="VAQ15" s="66"/>
      <c r="VAR15" s="66"/>
      <c r="VAS15" s="66"/>
      <c r="VAT15" s="66"/>
      <c r="VAU15" s="66"/>
      <c r="VAV15" s="66"/>
      <c r="VAW15" s="66"/>
      <c r="VAX15" s="66"/>
      <c r="VAY15" s="66"/>
      <c r="VAZ15" s="66"/>
      <c r="VBA15" s="66"/>
      <c r="VBB15" s="66"/>
      <c r="VBC15" s="66"/>
      <c r="VBD15" s="66"/>
      <c r="VBE15" s="66"/>
      <c r="VBF15" s="66"/>
      <c r="VBG15" s="66"/>
      <c r="VBH15" s="66"/>
      <c r="VBI15" s="66"/>
      <c r="VBJ15" s="66"/>
      <c r="VBK15" s="66"/>
      <c r="VBL15" s="66"/>
      <c r="VBM15" s="66"/>
      <c r="VBN15" s="66"/>
      <c r="VBO15" s="66"/>
      <c r="VBP15" s="66"/>
      <c r="VBQ15" s="66"/>
      <c r="VBR15" s="66"/>
      <c r="VBS15" s="66"/>
      <c r="VBT15" s="66"/>
      <c r="VBU15" s="66"/>
      <c r="VBV15" s="66"/>
      <c r="VBW15" s="66"/>
      <c r="VBX15" s="66"/>
      <c r="VBY15" s="66"/>
      <c r="VBZ15" s="66"/>
      <c r="VCA15" s="66"/>
      <c r="VCB15" s="66"/>
      <c r="VCC15" s="66"/>
      <c r="VCD15" s="66"/>
      <c r="VCE15" s="66"/>
      <c r="VCF15" s="66"/>
      <c r="VCG15" s="66"/>
      <c r="VCH15" s="66"/>
      <c r="VCI15" s="66"/>
      <c r="VCJ15" s="66"/>
      <c r="VCK15" s="66"/>
      <c r="VCL15" s="66"/>
      <c r="VCM15" s="66"/>
      <c r="VCN15" s="66"/>
      <c r="VCO15" s="66"/>
      <c r="VCP15" s="66"/>
      <c r="VCQ15" s="66"/>
      <c r="VCR15" s="66"/>
      <c r="VCS15" s="66"/>
      <c r="VCT15" s="66"/>
      <c r="VCU15" s="66"/>
      <c r="VCV15" s="66"/>
      <c r="VCW15" s="66"/>
      <c r="VCX15" s="66"/>
      <c r="VCY15" s="66"/>
      <c r="VCZ15" s="66"/>
      <c r="VDA15" s="66"/>
      <c r="VDB15" s="66"/>
      <c r="VDC15" s="66"/>
      <c r="VDD15" s="66"/>
      <c r="VDE15" s="66"/>
      <c r="VDF15" s="66"/>
      <c r="VDG15" s="66"/>
      <c r="VDH15" s="66"/>
      <c r="VDI15" s="66"/>
      <c r="VDJ15" s="66"/>
      <c r="VDK15" s="66"/>
      <c r="VDL15" s="66"/>
      <c r="VDM15" s="66"/>
      <c r="VDN15" s="66"/>
      <c r="VDO15" s="66"/>
      <c r="VDP15" s="66"/>
      <c r="VDQ15" s="66"/>
      <c r="VDR15" s="66"/>
      <c r="VDS15" s="66"/>
      <c r="VDT15" s="66"/>
      <c r="VDU15" s="66"/>
      <c r="VDV15" s="66"/>
      <c r="VDW15" s="66"/>
      <c r="VDX15" s="66"/>
      <c r="VDY15" s="66"/>
      <c r="VDZ15" s="66"/>
      <c r="VEA15" s="66"/>
      <c r="VEB15" s="66"/>
      <c r="VEC15" s="66"/>
      <c r="VED15" s="66"/>
      <c r="VEE15" s="66"/>
      <c r="VEF15" s="66"/>
      <c r="VEG15" s="66"/>
      <c r="VEH15" s="66"/>
      <c r="VEI15" s="66"/>
      <c r="VEJ15" s="66"/>
      <c r="VEK15" s="66"/>
      <c r="VEL15" s="66"/>
      <c r="VEM15" s="66"/>
      <c r="VEN15" s="66"/>
      <c r="VEO15" s="66"/>
      <c r="VEP15" s="66"/>
      <c r="VEQ15" s="66"/>
      <c r="VER15" s="66"/>
      <c r="VES15" s="66"/>
      <c r="VET15" s="66"/>
      <c r="VEU15" s="66"/>
      <c r="VEV15" s="66"/>
      <c r="VEW15" s="66"/>
      <c r="VEX15" s="66"/>
      <c r="VEY15" s="66"/>
      <c r="VEZ15" s="66"/>
      <c r="VFA15" s="66"/>
      <c r="VFB15" s="66"/>
      <c r="VFC15" s="66"/>
      <c r="VFD15" s="66"/>
      <c r="VFE15" s="66"/>
      <c r="VFF15" s="66"/>
      <c r="VFG15" s="66"/>
      <c r="VFH15" s="66"/>
      <c r="VFI15" s="66"/>
      <c r="VFJ15" s="66"/>
      <c r="VFK15" s="66"/>
      <c r="VFL15" s="66"/>
      <c r="VFM15" s="66"/>
      <c r="VFN15" s="66"/>
      <c r="VFO15" s="66"/>
      <c r="VFP15" s="66"/>
      <c r="VFQ15" s="66"/>
      <c r="VFR15" s="66"/>
      <c r="VFS15" s="66"/>
      <c r="VFT15" s="66"/>
      <c r="VFU15" s="66"/>
      <c r="VFV15" s="66"/>
      <c r="VFW15" s="66"/>
      <c r="VFX15" s="66"/>
      <c r="VFY15" s="66"/>
      <c r="VFZ15" s="66"/>
      <c r="VGA15" s="66"/>
      <c r="VGB15" s="66"/>
      <c r="VGC15" s="66"/>
      <c r="VGD15" s="66"/>
      <c r="VGE15" s="66"/>
      <c r="VGF15" s="66"/>
      <c r="VGG15" s="66"/>
      <c r="VGH15" s="66"/>
      <c r="VGI15" s="66"/>
      <c r="VGJ15" s="66"/>
      <c r="VGK15" s="66"/>
      <c r="VGL15" s="66"/>
      <c r="VGM15" s="66"/>
      <c r="VGN15" s="66"/>
      <c r="VGO15" s="66"/>
      <c r="VGP15" s="66"/>
      <c r="VGQ15" s="66"/>
      <c r="VGR15" s="66"/>
      <c r="VGS15" s="66"/>
      <c r="VGT15" s="66"/>
      <c r="VGU15" s="66"/>
      <c r="VGV15" s="66"/>
      <c r="VGW15" s="66"/>
      <c r="VGX15" s="66"/>
      <c r="VGY15" s="66"/>
      <c r="VGZ15" s="66"/>
      <c r="VHA15" s="66"/>
      <c r="VHB15" s="66"/>
      <c r="VHC15" s="66"/>
      <c r="VHD15" s="66"/>
      <c r="VHE15" s="66"/>
      <c r="VHF15" s="66"/>
      <c r="VHG15" s="66"/>
      <c r="VHH15" s="66"/>
      <c r="VHI15" s="66"/>
      <c r="VHJ15" s="66"/>
      <c r="VHK15" s="66"/>
      <c r="VHL15" s="66"/>
      <c r="VHM15" s="66"/>
      <c r="VHN15" s="66"/>
      <c r="VHO15" s="66"/>
      <c r="VHP15" s="66"/>
      <c r="VHQ15" s="66"/>
      <c r="VHR15" s="66"/>
      <c r="VHS15" s="66"/>
      <c r="VHT15" s="66"/>
      <c r="VHU15" s="66"/>
      <c r="VHV15" s="66"/>
      <c r="VHW15" s="66"/>
      <c r="VHX15" s="66"/>
      <c r="VHY15" s="66"/>
      <c r="VHZ15" s="66"/>
      <c r="VIA15" s="66"/>
      <c r="VIB15" s="66"/>
      <c r="VIC15" s="66"/>
      <c r="VID15" s="66"/>
      <c r="VIE15" s="66"/>
      <c r="VIF15" s="66"/>
      <c r="VIG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H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V15" s="66"/>
      <c r="VJW15" s="66"/>
      <c r="VJX15" s="66"/>
      <c r="VJY15" s="66"/>
      <c r="VJZ15" s="66"/>
      <c r="VKA15" s="66"/>
      <c r="VKB15" s="66"/>
      <c r="VKC15" s="66"/>
      <c r="VKD15" s="66"/>
      <c r="VKE15" s="66"/>
      <c r="VKF15" s="66"/>
      <c r="VKG15" s="66"/>
      <c r="VKH15" s="66"/>
      <c r="VKI15" s="66"/>
      <c r="VKJ15" s="66"/>
      <c r="VKK15" s="66"/>
      <c r="VKL15" s="66"/>
      <c r="VKM15" s="66"/>
      <c r="VKN15" s="66"/>
      <c r="VKO15" s="66"/>
      <c r="VKP15" s="66"/>
      <c r="VKQ15" s="66"/>
      <c r="VKR15" s="66"/>
      <c r="VKS15" s="66"/>
      <c r="VKT15" s="66"/>
      <c r="VKU15" s="66"/>
      <c r="VKV15" s="66"/>
      <c r="VKW15" s="66"/>
      <c r="VKX15" s="66"/>
      <c r="VKY15" s="66"/>
      <c r="VKZ15" s="66"/>
      <c r="VLA15" s="66"/>
      <c r="VLB15" s="66"/>
      <c r="VLC15" s="66"/>
      <c r="VLD15" s="66"/>
      <c r="VLE15" s="66"/>
      <c r="VLF15" s="66"/>
      <c r="VLG15" s="66"/>
      <c r="VLH15" s="66"/>
      <c r="VLI15" s="66"/>
      <c r="VLJ15" s="66"/>
      <c r="VLK15" s="66"/>
      <c r="VLL15" s="66"/>
      <c r="VLM15" s="66"/>
      <c r="VLN15" s="66"/>
      <c r="VLO15" s="66"/>
      <c r="VLP15" s="66"/>
      <c r="VLQ15" s="66"/>
      <c r="VLR15" s="66"/>
      <c r="VLS15" s="66"/>
      <c r="VLT15" s="66"/>
      <c r="VLU15" s="66"/>
      <c r="VLV15" s="66"/>
      <c r="VLW15" s="66"/>
      <c r="VLX15" s="66"/>
      <c r="VLY15" s="66"/>
      <c r="VLZ15" s="66"/>
      <c r="VMA15" s="66"/>
      <c r="VMB15" s="66"/>
      <c r="VMC15" s="66"/>
      <c r="VMD15" s="66"/>
      <c r="VME15" s="66"/>
      <c r="VMF15" s="66"/>
      <c r="VMG15" s="66"/>
      <c r="VMH15" s="66"/>
      <c r="VMI15" s="66"/>
      <c r="VMJ15" s="66"/>
      <c r="VMK15" s="66"/>
      <c r="VML15" s="66"/>
      <c r="VMM15" s="66"/>
      <c r="VMN15" s="66"/>
      <c r="VMO15" s="66"/>
      <c r="VMP15" s="66"/>
      <c r="VMQ15" s="66"/>
      <c r="VMR15" s="66"/>
      <c r="VMS15" s="66"/>
      <c r="VMT15" s="66"/>
      <c r="VMU15" s="66"/>
      <c r="VMV15" s="66"/>
      <c r="VMW15" s="66"/>
      <c r="VMX15" s="66"/>
      <c r="VMY15" s="66"/>
      <c r="VMZ15" s="66"/>
      <c r="VNA15" s="66"/>
      <c r="VNB15" s="66"/>
      <c r="VNC15" s="66"/>
      <c r="VND15" s="66"/>
      <c r="VNE15" s="66"/>
      <c r="VNF15" s="66"/>
      <c r="VNG15" s="66"/>
      <c r="VNH15" s="66"/>
      <c r="VNI15" s="66"/>
      <c r="VNJ15" s="66"/>
      <c r="VNK15" s="66"/>
      <c r="VNL15" s="66"/>
      <c r="VNM15" s="66"/>
      <c r="VNN15" s="66"/>
      <c r="VNO15" s="66"/>
      <c r="VNP15" s="66"/>
      <c r="VNQ15" s="66"/>
      <c r="VNR15" s="66"/>
      <c r="VNS15" s="66"/>
      <c r="VNT15" s="66"/>
      <c r="VNU15" s="66"/>
      <c r="VNV15" s="66"/>
      <c r="VNW15" s="66"/>
      <c r="VNX15" s="66"/>
      <c r="VNY15" s="66"/>
      <c r="VNZ15" s="66"/>
      <c r="VOA15" s="66"/>
      <c r="VOB15" s="66"/>
      <c r="VOC15" s="66"/>
      <c r="VOD15" s="66"/>
      <c r="VOE15" s="66"/>
      <c r="VOF15" s="66"/>
      <c r="VOG15" s="66"/>
      <c r="VOH15" s="66"/>
      <c r="VOI15" s="66"/>
      <c r="VOJ15" s="66"/>
      <c r="VOK15" s="66"/>
      <c r="VOL15" s="66"/>
      <c r="VOM15" s="66"/>
      <c r="VON15" s="66"/>
      <c r="VOO15" s="66"/>
      <c r="VOP15" s="66"/>
      <c r="VOQ15" s="66"/>
      <c r="VOR15" s="66"/>
      <c r="VOS15" s="66"/>
      <c r="VOT15" s="66"/>
      <c r="VOU15" s="66"/>
      <c r="VOV15" s="66"/>
      <c r="VOW15" s="66"/>
      <c r="VOX15" s="66"/>
      <c r="VOY15" s="66"/>
      <c r="VOZ15" s="66"/>
      <c r="VPA15" s="66"/>
      <c r="VPB15" s="66"/>
      <c r="VPC15" s="66"/>
      <c r="VPD15" s="66"/>
      <c r="VPE15" s="66"/>
      <c r="VPF15" s="66"/>
      <c r="VPG15" s="66"/>
      <c r="VPH15" s="66"/>
      <c r="VPI15" s="66"/>
      <c r="VPJ15" s="66"/>
      <c r="VPK15" s="66"/>
      <c r="VPL15" s="66"/>
      <c r="VPM15" s="66"/>
      <c r="VPN15" s="66"/>
      <c r="VPO15" s="66"/>
      <c r="VPP15" s="66"/>
      <c r="VPQ15" s="66"/>
      <c r="VPR15" s="66"/>
      <c r="VPS15" s="66"/>
      <c r="VPT15" s="66"/>
      <c r="VPU15" s="66"/>
      <c r="VPV15" s="66"/>
      <c r="VPW15" s="66"/>
      <c r="VPX15" s="66"/>
      <c r="VPY15" s="66"/>
      <c r="VPZ15" s="66"/>
      <c r="VQA15" s="66"/>
      <c r="VQB15" s="66"/>
      <c r="VQC15" s="66"/>
      <c r="VQD15" s="66"/>
      <c r="VQE15" s="66"/>
      <c r="VQF15" s="66"/>
      <c r="VQG15" s="66"/>
      <c r="VQH15" s="66"/>
      <c r="VQI15" s="66"/>
      <c r="VQJ15" s="66"/>
      <c r="VQK15" s="66"/>
      <c r="VQL15" s="66"/>
      <c r="VQM15" s="66"/>
      <c r="VQN15" s="66"/>
      <c r="VQO15" s="66"/>
      <c r="VQP15" s="66"/>
      <c r="VQQ15" s="66"/>
      <c r="VQR15" s="66"/>
      <c r="VQS15" s="66"/>
      <c r="VQT15" s="66"/>
      <c r="VQU15" s="66"/>
      <c r="VQV15" s="66"/>
      <c r="VQW15" s="66"/>
      <c r="VQX15" s="66"/>
      <c r="VQY15" s="66"/>
      <c r="VQZ15" s="66"/>
      <c r="VRA15" s="66"/>
      <c r="VRB15" s="66"/>
      <c r="VRC15" s="66"/>
      <c r="VRD15" s="66"/>
      <c r="VRE15" s="66"/>
      <c r="VRF15" s="66"/>
      <c r="VRG15" s="66"/>
      <c r="VRH15" s="66"/>
      <c r="VRI15" s="66"/>
      <c r="VRJ15" s="66"/>
      <c r="VRK15" s="66"/>
      <c r="VRL15" s="66"/>
      <c r="VRM15" s="66"/>
      <c r="VRN15" s="66"/>
      <c r="VRO15" s="66"/>
      <c r="VRP15" s="66"/>
      <c r="VRQ15" s="66"/>
      <c r="VRR15" s="66"/>
      <c r="VRS15" s="66"/>
      <c r="VRT15" s="66"/>
      <c r="VRU15" s="66"/>
      <c r="VRV15" s="66"/>
      <c r="VRW15" s="66"/>
      <c r="VRX15" s="66"/>
      <c r="VRY15" s="66"/>
      <c r="VRZ15" s="66"/>
      <c r="VSA15" s="66"/>
      <c r="VSB15" s="66"/>
      <c r="VSC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D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R15" s="66"/>
      <c r="VTS15" s="66"/>
      <c r="VTT15" s="66"/>
      <c r="VTU15" s="66"/>
      <c r="VTV15" s="66"/>
      <c r="VTW15" s="66"/>
      <c r="VTX15" s="66"/>
      <c r="VTY15" s="66"/>
      <c r="VTZ15" s="66"/>
      <c r="VUA15" s="66"/>
      <c r="VUB15" s="66"/>
      <c r="VUC15" s="66"/>
      <c r="VUD15" s="66"/>
      <c r="VUE15" s="66"/>
      <c r="VUF15" s="66"/>
      <c r="VUG15" s="66"/>
      <c r="VUH15" s="66"/>
      <c r="VUI15" s="66"/>
      <c r="VUJ15" s="66"/>
      <c r="VUK15" s="66"/>
      <c r="VUL15" s="66"/>
      <c r="VUM15" s="66"/>
      <c r="VUN15" s="66"/>
      <c r="VUO15" s="66"/>
      <c r="VUP15" s="66"/>
      <c r="VUQ15" s="66"/>
      <c r="VUR15" s="66"/>
      <c r="VUS15" s="66"/>
      <c r="VUT15" s="66"/>
      <c r="VUU15" s="66"/>
      <c r="VUV15" s="66"/>
      <c r="VUW15" s="66"/>
      <c r="VUX15" s="66"/>
      <c r="VUY15" s="66"/>
      <c r="VUZ15" s="66"/>
      <c r="VVA15" s="66"/>
      <c r="VVB15" s="66"/>
      <c r="VVC15" s="66"/>
      <c r="VVD15" s="66"/>
      <c r="VVE15" s="66"/>
      <c r="VVF15" s="66"/>
      <c r="VVG15" s="66"/>
      <c r="VVH15" s="66"/>
      <c r="VVI15" s="66"/>
      <c r="VVJ15" s="66"/>
      <c r="VVK15" s="66"/>
      <c r="VVL15" s="66"/>
      <c r="VVM15" s="66"/>
      <c r="VVN15" s="66"/>
      <c r="VVO15" s="66"/>
      <c r="VVP15" s="66"/>
      <c r="VVQ15" s="66"/>
      <c r="VVR15" s="66"/>
      <c r="VVS15" s="66"/>
      <c r="VVT15" s="66"/>
      <c r="VVU15" s="66"/>
      <c r="VVV15" s="66"/>
      <c r="VVW15" s="66"/>
      <c r="VVX15" s="66"/>
      <c r="VVY15" s="66"/>
      <c r="VVZ15" s="66"/>
      <c r="VWA15" s="66"/>
      <c r="VWB15" s="66"/>
      <c r="VWC15" s="66"/>
      <c r="VWD15" s="66"/>
      <c r="VWE15" s="66"/>
      <c r="VWF15" s="66"/>
      <c r="VWG15" s="66"/>
      <c r="VWH15" s="66"/>
      <c r="VWI15" s="66"/>
      <c r="VWJ15" s="66"/>
      <c r="VWK15" s="66"/>
      <c r="VWL15" s="66"/>
      <c r="VWM15" s="66"/>
      <c r="VWN15" s="66"/>
      <c r="VWO15" s="66"/>
      <c r="VWP15" s="66"/>
      <c r="VWQ15" s="66"/>
      <c r="VWR15" s="66"/>
      <c r="VWS15" s="66"/>
      <c r="VWT15" s="66"/>
      <c r="VWU15" s="66"/>
      <c r="VWV15" s="66"/>
      <c r="VWW15" s="66"/>
      <c r="VWX15" s="66"/>
      <c r="VWY15" s="66"/>
      <c r="VWZ15" s="66"/>
      <c r="VXA15" s="66"/>
      <c r="VXB15" s="66"/>
      <c r="VXC15" s="66"/>
      <c r="VXD15" s="66"/>
      <c r="VXE15" s="66"/>
      <c r="VXF15" s="66"/>
      <c r="VXG15" s="66"/>
      <c r="VXH15" s="66"/>
      <c r="VXI15" s="66"/>
      <c r="VXJ15" s="66"/>
      <c r="VXK15" s="66"/>
      <c r="VXL15" s="66"/>
      <c r="VXM15" s="66"/>
      <c r="VXN15" s="66"/>
      <c r="VXO15" s="66"/>
      <c r="VXP15" s="66"/>
      <c r="VXQ15" s="66"/>
      <c r="VXR15" s="66"/>
      <c r="VXS15" s="66"/>
      <c r="VXT15" s="66"/>
      <c r="VXU15" s="66"/>
      <c r="VXV15" s="66"/>
      <c r="VXW15" s="66"/>
      <c r="VXX15" s="66"/>
      <c r="VXY15" s="66"/>
      <c r="VXZ15" s="66"/>
      <c r="VYA15" s="66"/>
      <c r="VYB15" s="66"/>
      <c r="VYC15" s="66"/>
      <c r="VYD15" s="66"/>
      <c r="VYE15" s="66"/>
      <c r="VYF15" s="66"/>
      <c r="VYG15" s="66"/>
      <c r="VYH15" s="66"/>
      <c r="VYI15" s="66"/>
      <c r="VYJ15" s="66"/>
      <c r="VYK15" s="66"/>
      <c r="VYL15" s="66"/>
      <c r="VYM15" s="66"/>
      <c r="VYN15" s="66"/>
      <c r="VYO15" s="66"/>
      <c r="VYP15" s="66"/>
      <c r="VYQ15" s="66"/>
      <c r="VYR15" s="66"/>
      <c r="VYS15" s="66"/>
      <c r="VYT15" s="66"/>
      <c r="VYU15" s="66"/>
      <c r="VYV15" s="66"/>
      <c r="VYW15" s="66"/>
      <c r="VYX15" s="66"/>
      <c r="VYY15" s="66"/>
      <c r="VYZ15" s="66"/>
      <c r="VZA15" s="66"/>
      <c r="VZB15" s="66"/>
      <c r="VZC15" s="66"/>
      <c r="VZD15" s="66"/>
      <c r="VZE15" s="66"/>
      <c r="VZF15" s="66"/>
      <c r="VZG15" s="66"/>
      <c r="VZH15" s="66"/>
      <c r="VZI15" s="66"/>
      <c r="VZJ15" s="66"/>
      <c r="VZK15" s="66"/>
      <c r="VZL15" s="66"/>
      <c r="VZM15" s="66"/>
      <c r="VZN15" s="66"/>
      <c r="VZO15" s="66"/>
      <c r="VZP15" s="66"/>
      <c r="VZQ15" s="66"/>
      <c r="VZR15" s="66"/>
      <c r="VZS15" s="66"/>
      <c r="VZT15" s="66"/>
      <c r="VZU15" s="66"/>
      <c r="VZV15" s="66"/>
      <c r="VZW15" s="66"/>
      <c r="VZX15" s="66"/>
      <c r="VZY15" s="66"/>
      <c r="VZZ15" s="66"/>
      <c r="WAA15" s="66"/>
      <c r="WAB15" s="66"/>
      <c r="WAC15" s="66"/>
      <c r="WAD15" s="66"/>
      <c r="WAE15" s="66"/>
      <c r="WAF15" s="66"/>
      <c r="WAG15" s="66"/>
      <c r="WAH15" s="66"/>
      <c r="WAI15" s="66"/>
      <c r="WAJ15" s="66"/>
      <c r="WAK15" s="66"/>
      <c r="WAL15" s="66"/>
      <c r="WAM15" s="66"/>
      <c r="WAN15" s="66"/>
      <c r="WAO15" s="66"/>
      <c r="WAP15" s="66"/>
      <c r="WAQ15" s="66"/>
      <c r="WAR15" s="66"/>
      <c r="WAS15" s="66"/>
      <c r="WAT15" s="66"/>
      <c r="WAU15" s="66"/>
      <c r="WAV15" s="66"/>
      <c r="WAW15" s="66"/>
      <c r="WAX15" s="66"/>
      <c r="WAY15" s="66"/>
      <c r="WAZ15" s="66"/>
      <c r="WBA15" s="66"/>
      <c r="WBB15" s="66"/>
      <c r="WBC15" s="66"/>
      <c r="WBD15" s="66"/>
      <c r="WBE15" s="66"/>
      <c r="WBF15" s="66"/>
      <c r="WBG15" s="66"/>
      <c r="WBH15" s="66"/>
      <c r="WBI15" s="66"/>
      <c r="WBJ15" s="66"/>
      <c r="WBK15" s="66"/>
      <c r="WBL15" s="66"/>
      <c r="WBM15" s="66"/>
      <c r="WBN15" s="66"/>
      <c r="WBO15" s="66"/>
      <c r="WBP15" s="66"/>
      <c r="WBQ15" s="66"/>
      <c r="WBR15" s="66"/>
      <c r="WBS15" s="66"/>
      <c r="WBT15" s="66"/>
      <c r="WBU15" s="66"/>
      <c r="WBV15" s="66"/>
      <c r="WBW15" s="66"/>
      <c r="WBX15" s="66"/>
      <c r="WBY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CZ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N15" s="66"/>
      <c r="WDO15" s="66"/>
      <c r="WDP15" s="66"/>
      <c r="WDQ15" s="66"/>
      <c r="WDR15" s="66"/>
      <c r="WDS15" s="66"/>
      <c r="WDT15" s="66"/>
      <c r="WDU15" s="66"/>
      <c r="WDV15" s="66"/>
      <c r="WDW15" s="66"/>
      <c r="WDX15" s="66"/>
      <c r="WDY15" s="66"/>
      <c r="WDZ15" s="66"/>
      <c r="WEA15" s="66"/>
      <c r="WEB15" s="66"/>
      <c r="WEC15" s="66"/>
      <c r="WED15" s="66"/>
      <c r="WEE15" s="66"/>
      <c r="WEF15" s="66"/>
      <c r="WEG15" s="66"/>
      <c r="WEH15" s="66"/>
      <c r="WEI15" s="66"/>
      <c r="WEJ15" s="66"/>
      <c r="WEK15" s="66"/>
      <c r="WEL15" s="66"/>
      <c r="WEM15" s="66"/>
      <c r="WEN15" s="66"/>
      <c r="WEO15" s="66"/>
      <c r="WEP15" s="66"/>
      <c r="WEQ15" s="66"/>
      <c r="WER15" s="66"/>
      <c r="WES15" s="66"/>
      <c r="WET15" s="66"/>
      <c r="WEU15" s="66"/>
      <c r="WEV15" s="66"/>
      <c r="WEW15" s="66"/>
      <c r="WEX15" s="66"/>
      <c r="WEY15" s="66"/>
      <c r="WEZ15" s="66"/>
      <c r="WFA15" s="66"/>
      <c r="WFB15" s="66"/>
      <c r="WFC15" s="66"/>
      <c r="WFD15" s="66"/>
      <c r="WFE15" s="66"/>
      <c r="WFF15" s="66"/>
      <c r="WFG15" s="66"/>
      <c r="WFH15" s="66"/>
      <c r="WFI15" s="66"/>
      <c r="WFJ15" s="66"/>
      <c r="WFK15" s="66"/>
      <c r="WFL15" s="66"/>
      <c r="WFM15" s="66"/>
      <c r="WFN15" s="66"/>
      <c r="WFO15" s="66"/>
      <c r="WFP15" s="66"/>
      <c r="WFQ15" s="66"/>
      <c r="WFR15" s="66"/>
      <c r="WFS15" s="66"/>
      <c r="WFT15" s="66"/>
      <c r="WFU15" s="66"/>
      <c r="WFV15" s="66"/>
      <c r="WFW15" s="66"/>
      <c r="WFX15" s="66"/>
      <c r="WFY15" s="66"/>
      <c r="WFZ15" s="66"/>
      <c r="WGA15" s="66"/>
      <c r="WGB15" s="66"/>
      <c r="WGC15" s="66"/>
      <c r="WGD15" s="66"/>
      <c r="WGE15" s="66"/>
      <c r="WGF15" s="66"/>
      <c r="WGG15" s="66"/>
      <c r="WGH15" s="66"/>
      <c r="WGI15" s="66"/>
      <c r="WGJ15" s="66"/>
      <c r="WGK15" s="66"/>
      <c r="WGL15" s="66"/>
      <c r="WGM15" s="66"/>
      <c r="WGN15" s="66"/>
      <c r="WGO15" s="66"/>
      <c r="WGP15" s="66"/>
      <c r="WGQ15" s="66"/>
      <c r="WGR15" s="66"/>
      <c r="WGS15" s="66"/>
      <c r="WGT15" s="66"/>
      <c r="WGU15" s="66"/>
      <c r="WGV15" s="66"/>
      <c r="WGW15" s="66"/>
      <c r="WGX15" s="66"/>
      <c r="WGY15" s="66"/>
      <c r="WGZ15" s="66"/>
      <c r="WHA15" s="66"/>
      <c r="WHB15" s="66"/>
      <c r="WHC15" s="66"/>
      <c r="WHD15" s="66"/>
      <c r="WHE15" s="66"/>
      <c r="WHF15" s="66"/>
      <c r="WHG15" s="66"/>
      <c r="WHH15" s="66"/>
      <c r="WHI15" s="66"/>
      <c r="WHJ15" s="66"/>
      <c r="WHK15" s="66"/>
      <c r="WHL15" s="66"/>
      <c r="WHM15" s="66"/>
      <c r="WHN15" s="66"/>
      <c r="WHO15" s="66"/>
      <c r="WHP15" s="66"/>
      <c r="WHQ15" s="66"/>
      <c r="WHR15" s="66"/>
      <c r="WHS15" s="66"/>
      <c r="WHT15" s="66"/>
      <c r="WHU15" s="66"/>
      <c r="WHV15" s="66"/>
      <c r="WHW15" s="66"/>
      <c r="WHX15" s="66"/>
      <c r="WHY15" s="66"/>
      <c r="WHZ15" s="66"/>
      <c r="WIA15" s="66"/>
      <c r="WIB15" s="66"/>
      <c r="WIC15" s="66"/>
      <c r="WID15" s="66"/>
      <c r="WIE15" s="66"/>
      <c r="WIF15" s="66"/>
      <c r="WIG15" s="66"/>
      <c r="WIH15" s="66"/>
      <c r="WII15" s="66"/>
      <c r="WIJ15" s="66"/>
      <c r="WIK15" s="66"/>
      <c r="WIL15" s="66"/>
      <c r="WIM15" s="66"/>
      <c r="WIN15" s="66"/>
      <c r="WIO15" s="66"/>
      <c r="WIP15" s="66"/>
      <c r="WIQ15" s="66"/>
      <c r="WIR15" s="66"/>
      <c r="WIS15" s="66"/>
      <c r="WIT15" s="66"/>
      <c r="WIU15" s="66"/>
      <c r="WIV15" s="66"/>
      <c r="WIW15" s="66"/>
      <c r="WIX15" s="66"/>
      <c r="WIY15" s="66"/>
      <c r="WIZ15" s="66"/>
      <c r="WJA15" s="66"/>
      <c r="WJB15" s="66"/>
      <c r="WJC15" s="66"/>
      <c r="WJD15" s="66"/>
      <c r="WJE15" s="66"/>
      <c r="WJF15" s="66"/>
      <c r="WJG15" s="66"/>
      <c r="WJH15" s="66"/>
      <c r="WJI15" s="66"/>
      <c r="WJJ15" s="66"/>
      <c r="WJK15" s="66"/>
      <c r="WJL15" s="66"/>
      <c r="WJM15" s="66"/>
      <c r="WJN15" s="66"/>
      <c r="WJO15" s="66"/>
      <c r="WJP15" s="66"/>
      <c r="WJQ15" s="66"/>
      <c r="WJR15" s="66"/>
      <c r="WJS15" s="66"/>
      <c r="WJT15" s="66"/>
      <c r="WJU15" s="66"/>
      <c r="WJV15" s="66"/>
      <c r="WJW15" s="66"/>
      <c r="WJX15" s="66"/>
      <c r="WJY15" s="66"/>
      <c r="WJZ15" s="66"/>
      <c r="WKA15" s="66"/>
      <c r="WKB15" s="66"/>
      <c r="WKC15" s="66"/>
      <c r="WKD15" s="66"/>
      <c r="WKE15" s="66"/>
      <c r="WKF15" s="66"/>
      <c r="WKG15" s="66"/>
      <c r="WKH15" s="66"/>
      <c r="WKI15" s="66"/>
      <c r="WKJ15" s="66"/>
      <c r="WKK15" s="66"/>
      <c r="WKL15" s="66"/>
      <c r="WKM15" s="66"/>
      <c r="WKN15" s="66"/>
      <c r="WKO15" s="66"/>
      <c r="WKP15" s="66"/>
      <c r="WKQ15" s="66"/>
      <c r="WKR15" s="66"/>
      <c r="WKS15" s="66"/>
      <c r="WKT15" s="66"/>
      <c r="WKU15" s="66"/>
      <c r="WKV15" s="66"/>
      <c r="WKW15" s="66"/>
      <c r="WKX15" s="66"/>
      <c r="WKY15" s="66"/>
      <c r="WKZ15" s="66"/>
      <c r="WLA15" s="66"/>
      <c r="WLB15" s="66"/>
      <c r="WLC15" s="66"/>
      <c r="WLD15" s="66"/>
      <c r="WLE15" s="66"/>
      <c r="WLF15" s="66"/>
      <c r="WLG15" s="66"/>
      <c r="WLH15" s="66"/>
      <c r="WLI15" s="66"/>
      <c r="WLJ15" s="66"/>
      <c r="WLK15" s="66"/>
      <c r="WLL15" s="66"/>
      <c r="WLM15" s="66"/>
      <c r="WLN15" s="66"/>
      <c r="WLO15" s="66"/>
      <c r="WLP15" s="66"/>
      <c r="WLQ15" s="66"/>
      <c r="WLR15" s="66"/>
      <c r="WLS15" s="66"/>
      <c r="WLT15" s="66"/>
      <c r="WLU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V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J15" s="66"/>
      <c r="WNK15" s="66"/>
      <c r="WNL15" s="66"/>
      <c r="WNM15" s="66"/>
      <c r="WNN15" s="66"/>
      <c r="WNO15" s="66"/>
      <c r="WNP15" s="66"/>
      <c r="WNQ15" s="66"/>
      <c r="WNR15" s="66"/>
      <c r="WNS15" s="66"/>
      <c r="WNT15" s="66"/>
      <c r="WNU15" s="66"/>
      <c r="WNV15" s="66"/>
      <c r="WNW15" s="66"/>
      <c r="WNX15" s="66"/>
      <c r="WNY15" s="66"/>
      <c r="WNZ15" s="66"/>
      <c r="WOA15" s="66"/>
      <c r="WOB15" s="66"/>
      <c r="WOC15" s="66"/>
      <c r="WOD15" s="66"/>
      <c r="WOE15" s="66"/>
      <c r="WOF15" s="66"/>
      <c r="WOG15" s="66"/>
      <c r="WOH15" s="66"/>
      <c r="WOI15" s="66"/>
      <c r="WOJ15" s="66"/>
      <c r="WOK15" s="66"/>
      <c r="WOL15" s="66"/>
      <c r="WOM15" s="66"/>
      <c r="WON15" s="66"/>
      <c r="WOO15" s="66"/>
      <c r="WOP15" s="66"/>
      <c r="WOQ15" s="66"/>
      <c r="WOR15" s="66"/>
      <c r="WOS15" s="66"/>
      <c r="WOT15" s="66"/>
      <c r="WOU15" s="66"/>
      <c r="WOV15" s="66"/>
      <c r="WOW15" s="66"/>
      <c r="WOX15" s="66"/>
      <c r="WOY15" s="66"/>
      <c r="WOZ15" s="66"/>
      <c r="WPA15" s="66"/>
      <c r="WPB15" s="66"/>
      <c r="WPC15" s="66"/>
      <c r="WPD15" s="66"/>
      <c r="WPE15" s="66"/>
      <c r="WPF15" s="66"/>
      <c r="WPG15" s="66"/>
      <c r="WPH15" s="66"/>
      <c r="WPI15" s="66"/>
      <c r="WPJ15" s="66"/>
      <c r="WPK15" s="66"/>
      <c r="WPL15" s="66"/>
      <c r="WPM15" s="66"/>
      <c r="WPN15" s="66"/>
      <c r="WPO15" s="66"/>
      <c r="WPP15" s="66"/>
      <c r="WPQ15" s="66"/>
      <c r="WPR15" s="66"/>
      <c r="WPS15" s="66"/>
      <c r="WPT15" s="66"/>
      <c r="WPU15" s="66"/>
      <c r="WPV15" s="66"/>
      <c r="WPW15" s="66"/>
      <c r="WPX15" s="66"/>
      <c r="WPY15" s="66"/>
      <c r="WPZ15" s="66"/>
      <c r="WQA15" s="66"/>
      <c r="WQB15" s="66"/>
      <c r="WQC15" s="66"/>
      <c r="WQD15" s="66"/>
      <c r="WQE15" s="66"/>
      <c r="WQF15" s="66"/>
      <c r="WQG15" s="66"/>
      <c r="WQH15" s="66"/>
      <c r="WQI15" s="66"/>
      <c r="WQJ15" s="66"/>
      <c r="WQK15" s="66"/>
      <c r="WQL15" s="66"/>
      <c r="WQM15" s="66"/>
      <c r="WQN15" s="66"/>
      <c r="WQO15" s="66"/>
      <c r="WQP15" s="66"/>
      <c r="WQQ15" s="66"/>
      <c r="WQR15" s="66"/>
      <c r="WQS15" s="66"/>
      <c r="WQT15" s="66"/>
      <c r="WQU15" s="66"/>
      <c r="WQV15" s="66"/>
      <c r="WQW15" s="66"/>
      <c r="WQX15" s="66"/>
      <c r="WQY15" s="66"/>
      <c r="WQZ15" s="66"/>
      <c r="WRA15" s="66"/>
      <c r="WRB15" s="66"/>
      <c r="WRC15" s="66"/>
      <c r="WRD15" s="66"/>
      <c r="WRE15" s="66"/>
      <c r="WRF15" s="66"/>
      <c r="WRG15" s="66"/>
      <c r="WRH15" s="66"/>
      <c r="WRI15" s="66"/>
      <c r="WRJ15" s="66"/>
      <c r="WRK15" s="66"/>
      <c r="WRL15" s="66"/>
      <c r="WRM15" s="66"/>
      <c r="WRN15" s="66"/>
      <c r="WRO15" s="66"/>
      <c r="WRP15" s="66"/>
      <c r="WRQ15" s="66"/>
      <c r="WRR15" s="66"/>
      <c r="WRS15" s="66"/>
      <c r="WRT15" s="66"/>
      <c r="WRU15" s="66"/>
      <c r="WRV15" s="66"/>
      <c r="WRW15" s="66"/>
      <c r="WRX15" s="66"/>
      <c r="WRY15" s="66"/>
      <c r="WRZ15" s="66"/>
      <c r="WSA15" s="66"/>
      <c r="WSB15" s="66"/>
      <c r="WSC15" s="66"/>
      <c r="WSD15" s="66"/>
      <c r="WSE15" s="66"/>
      <c r="WSF15" s="66"/>
      <c r="WSG15" s="66"/>
      <c r="WSH15" s="66"/>
      <c r="WSI15" s="66"/>
      <c r="WSJ15" s="66"/>
      <c r="WSK15" s="66"/>
      <c r="WSL15" s="66"/>
      <c r="WSM15" s="66"/>
      <c r="WSN15" s="66"/>
      <c r="WSO15" s="66"/>
      <c r="WSP15" s="66"/>
      <c r="WSQ15" s="66"/>
      <c r="WSR15" s="66"/>
      <c r="WSS15" s="66"/>
      <c r="WST15" s="66"/>
      <c r="WSU15" s="66"/>
      <c r="WSV15" s="66"/>
      <c r="WSW15" s="66"/>
      <c r="WSX15" s="66"/>
      <c r="WSY15" s="66"/>
      <c r="WSZ15" s="66"/>
      <c r="WTA15" s="66"/>
      <c r="WTB15" s="66"/>
      <c r="WTC15" s="66"/>
      <c r="WTD15" s="66"/>
      <c r="WTE15" s="66"/>
      <c r="WTF15" s="66"/>
      <c r="WTG15" s="66"/>
      <c r="WTH15" s="66"/>
      <c r="WTI15" s="66"/>
      <c r="WTJ15" s="66"/>
      <c r="WTK15" s="66"/>
      <c r="WTL15" s="66"/>
      <c r="WTM15" s="66"/>
      <c r="WTN15" s="66"/>
      <c r="WTO15" s="66"/>
      <c r="WTP15" s="66"/>
      <c r="WTQ15" s="66"/>
      <c r="WTR15" s="66"/>
      <c r="WTS15" s="66"/>
      <c r="WTT15" s="66"/>
      <c r="WTU15" s="66"/>
      <c r="WTV15" s="66"/>
      <c r="WTW15" s="66"/>
      <c r="WTX15" s="66"/>
      <c r="WTY15" s="66"/>
      <c r="WTZ15" s="66"/>
      <c r="WUA15" s="66"/>
      <c r="WUB15" s="66"/>
      <c r="WUC15" s="66"/>
      <c r="WUD15" s="66"/>
      <c r="WUE15" s="66"/>
      <c r="WUF15" s="66"/>
      <c r="WUG15" s="66"/>
      <c r="WUH15" s="66"/>
      <c r="WUI15" s="66"/>
      <c r="WUJ15" s="66"/>
      <c r="WUK15" s="66"/>
      <c r="WUL15" s="66"/>
      <c r="WUM15" s="66"/>
      <c r="WUN15" s="66"/>
      <c r="WUO15" s="66"/>
      <c r="WUP15" s="66"/>
      <c r="WUQ15" s="66"/>
      <c r="WUR15" s="66"/>
      <c r="WUS15" s="66"/>
      <c r="WUT15" s="66"/>
      <c r="WUU15" s="66"/>
      <c r="WUV15" s="66"/>
      <c r="WUW15" s="66"/>
      <c r="WUX15" s="66"/>
      <c r="WUY15" s="66"/>
      <c r="WUZ15" s="66"/>
      <c r="WVA15" s="66"/>
      <c r="WVB15" s="66"/>
      <c r="WVC15" s="66"/>
      <c r="WVD15" s="66"/>
      <c r="WVE15" s="66"/>
      <c r="WVF15" s="66"/>
      <c r="WVG15" s="66"/>
      <c r="WVH15" s="66"/>
      <c r="WVI15" s="66"/>
      <c r="WVJ15" s="66"/>
      <c r="WVK15" s="66"/>
      <c r="WVL15" s="66"/>
      <c r="WVM15" s="66"/>
      <c r="WVN15" s="66"/>
      <c r="WVO15" s="66"/>
      <c r="WVP15" s="66"/>
      <c r="WVQ15" s="66"/>
      <c r="WVR15" s="66"/>
      <c r="WVS15" s="66"/>
      <c r="WVT15" s="66"/>
      <c r="WVU15" s="66"/>
      <c r="WVV15" s="66"/>
      <c r="WVW15" s="66"/>
      <c r="WVX15" s="66"/>
      <c r="WVY15" s="66"/>
      <c r="WVZ15" s="66"/>
      <c r="WWA15" s="66"/>
      <c r="WWB15" s="66"/>
      <c r="WWC15" s="66"/>
      <c r="WWD15" s="66"/>
      <c r="WWE15" s="66"/>
      <c r="WWF15" s="66"/>
      <c r="WWG15" s="66"/>
      <c r="WWH15" s="66"/>
      <c r="WWI15" s="66"/>
      <c r="WWJ15" s="66"/>
      <c r="WWK15" s="66"/>
      <c r="WWL15" s="66"/>
      <c r="WWM15" s="66"/>
      <c r="WWN15" s="66"/>
      <c r="WWO15" s="66"/>
      <c r="WWP15" s="66"/>
      <c r="WWQ15" s="66"/>
      <c r="WWR15" s="66"/>
      <c r="WWS15" s="66"/>
      <c r="WWT15" s="66"/>
      <c r="WWU15" s="66"/>
      <c r="WWV15" s="66"/>
      <c r="WWW15" s="66"/>
      <c r="WWX15" s="66"/>
      <c r="WWY15" s="66"/>
      <c r="WWZ15" s="66"/>
      <c r="WXA15" s="66"/>
      <c r="WXB15" s="66"/>
      <c r="WXC15" s="66"/>
      <c r="WXD15" s="66"/>
      <c r="WXE15" s="66"/>
      <c r="WXF15" s="66"/>
      <c r="WXG15" s="66"/>
      <c r="WXH15" s="66"/>
      <c r="WXI15" s="66"/>
      <c r="WXJ15" s="66"/>
      <c r="WXK15" s="66"/>
      <c r="WXL15" s="66"/>
      <c r="WXM15" s="66"/>
      <c r="WXN15" s="66"/>
      <c r="WXO15" s="66"/>
      <c r="WXP15" s="66"/>
      <c r="WXQ15" s="66"/>
      <c r="WXR15" s="66"/>
      <c r="WXS15" s="66"/>
      <c r="WXT15" s="66"/>
      <c r="WXU15" s="66"/>
      <c r="WXV15" s="66"/>
      <c r="WXW15" s="66"/>
      <c r="WXX15" s="66"/>
      <c r="WXY15" s="66"/>
      <c r="WXZ15" s="66"/>
      <c r="WYA15" s="66"/>
      <c r="WYB15" s="66"/>
      <c r="WYC15" s="66"/>
      <c r="WYD15" s="66"/>
      <c r="WYE15" s="66"/>
      <c r="WYF15" s="66"/>
      <c r="WYG15" s="66"/>
      <c r="WYH15" s="66"/>
      <c r="WYI15" s="66"/>
      <c r="WYJ15" s="66"/>
      <c r="WYK15" s="66"/>
      <c r="WYL15" s="66"/>
      <c r="WYM15" s="66"/>
      <c r="WYN15" s="66"/>
      <c r="WYO15" s="66"/>
      <c r="WYP15" s="66"/>
      <c r="WYQ15" s="66"/>
      <c r="WYR15" s="66"/>
      <c r="WYS15" s="66"/>
      <c r="WYT15" s="66"/>
      <c r="WYU15" s="66"/>
      <c r="WYV15" s="66"/>
      <c r="WYW15" s="66"/>
      <c r="WYX15" s="66"/>
      <c r="WYY15" s="66"/>
      <c r="WYZ15" s="66"/>
      <c r="WZA15" s="66"/>
      <c r="WZB15" s="66"/>
      <c r="WZC15" s="66"/>
      <c r="WZD15" s="66"/>
      <c r="WZE15" s="66"/>
      <c r="WZF15" s="66"/>
      <c r="WZG15" s="66"/>
      <c r="WZH15" s="66"/>
      <c r="WZI15" s="66"/>
      <c r="WZJ15" s="66"/>
      <c r="WZK15" s="66"/>
      <c r="WZL15" s="66"/>
      <c r="WZM15" s="66"/>
      <c r="WZN15" s="66"/>
      <c r="WZO15" s="66"/>
      <c r="WZP15" s="66"/>
      <c r="WZQ15" s="66"/>
      <c r="WZR15" s="66"/>
      <c r="WZS15" s="66"/>
      <c r="WZT15" s="66"/>
      <c r="WZU15" s="66"/>
      <c r="WZV15" s="66"/>
      <c r="WZW15" s="66"/>
      <c r="WZX15" s="66"/>
      <c r="WZY15" s="66"/>
      <c r="WZZ15" s="66"/>
      <c r="XAA15" s="66"/>
      <c r="XAB15" s="66"/>
      <c r="XAC15" s="66"/>
      <c r="XAD15" s="66"/>
      <c r="XAE15" s="66"/>
      <c r="XAF15" s="66"/>
      <c r="XAG15" s="66"/>
      <c r="XAH15" s="66"/>
      <c r="XAI15" s="66"/>
      <c r="XAJ15" s="66"/>
      <c r="XAK15" s="66"/>
      <c r="XAL15" s="66"/>
      <c r="XAM15" s="66"/>
      <c r="XAN15" s="66"/>
      <c r="XAO15" s="66"/>
      <c r="XAP15" s="66"/>
      <c r="XAQ15" s="66"/>
      <c r="XAR15" s="66"/>
      <c r="XAS15" s="66"/>
      <c r="XAT15" s="66"/>
      <c r="XAU15" s="66"/>
      <c r="XAV15" s="66"/>
      <c r="XAW15" s="66"/>
      <c r="XAX15" s="66"/>
      <c r="XAY15" s="66"/>
      <c r="XAZ15" s="66"/>
      <c r="XBA15" s="66"/>
      <c r="XBB15" s="66"/>
      <c r="XBC15" s="66"/>
      <c r="XBD15" s="66"/>
      <c r="XBE15" s="66"/>
      <c r="XBF15" s="66"/>
      <c r="XBG15" s="66"/>
      <c r="XBH15" s="66"/>
      <c r="XBI15" s="66"/>
      <c r="XBJ15" s="66"/>
      <c r="XBK15" s="66"/>
      <c r="XBL15" s="66"/>
      <c r="XBM15" s="66"/>
      <c r="XBN15" s="66"/>
      <c r="XBO15" s="66"/>
      <c r="XBP15" s="66"/>
      <c r="XBQ15" s="66"/>
      <c r="XBR15" s="66"/>
      <c r="XBS15" s="66"/>
      <c r="XBT15" s="66"/>
      <c r="XBU15" s="66"/>
      <c r="XBV15" s="66"/>
      <c r="XBW15" s="66"/>
      <c r="XBX15" s="66"/>
      <c r="XBY15" s="66"/>
      <c r="XBZ15" s="66"/>
      <c r="XCA15" s="66"/>
      <c r="XCB15" s="66"/>
      <c r="XCC15" s="66"/>
      <c r="XCD15" s="66"/>
      <c r="XCE15" s="66"/>
      <c r="XCF15" s="66"/>
      <c r="XCG15" s="66"/>
      <c r="XCH15" s="66"/>
      <c r="XCI15" s="66"/>
      <c r="XCJ15" s="66"/>
      <c r="XCK15" s="66"/>
      <c r="XCL15" s="66"/>
      <c r="XCM15" s="66"/>
      <c r="XCN15" s="66"/>
      <c r="XCO15" s="66"/>
      <c r="XCP15" s="66"/>
      <c r="XCQ15" s="66"/>
      <c r="XCR15" s="66"/>
      <c r="XCS15" s="66"/>
      <c r="XCT15" s="66"/>
      <c r="XCU15" s="66"/>
      <c r="XCV15" s="66"/>
      <c r="XCW15" s="66"/>
      <c r="XCX15" s="66"/>
      <c r="XCY15" s="66"/>
      <c r="XCZ15" s="66"/>
      <c r="XDA15" s="66"/>
      <c r="XDB15" s="66"/>
      <c r="XDC15" s="66"/>
      <c r="XDD15" s="66"/>
      <c r="XDE15" s="66"/>
      <c r="XDF15" s="66"/>
      <c r="XDG15" s="66"/>
      <c r="XDH15" s="66"/>
      <c r="XDI15" s="66"/>
      <c r="XDJ15" s="66"/>
      <c r="XDK15" s="66"/>
      <c r="XDL15" s="66"/>
      <c r="XDM15" s="66"/>
      <c r="XDN15" s="66"/>
      <c r="XDO15" s="66"/>
      <c r="XDP15" s="66"/>
      <c r="XDQ15" s="66"/>
      <c r="XDR15" s="66"/>
      <c r="XDS15" s="66"/>
      <c r="XDT15" s="66"/>
      <c r="XDU15" s="66"/>
      <c r="XDV15" s="66"/>
      <c r="XDW15" s="66"/>
      <c r="XDX15" s="66"/>
      <c r="XDY15" s="66"/>
      <c r="XDZ15" s="66"/>
      <c r="XEA15" s="66"/>
      <c r="XEB15" s="66"/>
      <c r="XEC15" s="66"/>
      <c r="XED15" s="66"/>
      <c r="XEE15" s="66"/>
      <c r="XEF15" s="66"/>
      <c r="XEG15" s="66"/>
      <c r="XEH15" s="66"/>
      <c r="XEI15" s="66"/>
      <c r="XEJ15" s="66"/>
      <c r="XEK15" s="66"/>
      <c r="XEL15" s="66"/>
      <c r="XEM15" s="66"/>
      <c r="XEN15" s="66"/>
      <c r="XEO15" s="66"/>
      <c r="XEP15" s="66"/>
      <c r="XEQ15" s="66"/>
      <c r="XER15" s="66"/>
      <c r="XES15" s="66"/>
      <c r="XET15" s="66"/>
      <c r="XEU15" s="66"/>
      <c r="XEV15" s="66"/>
      <c r="XEW15" s="66"/>
      <c r="XEX15" s="66"/>
      <c r="XEY15" s="66"/>
      <c r="XEZ15" s="66"/>
      <c r="XFA15" s="66"/>
      <c r="XFB15" s="66"/>
      <c r="XFC15" s="66"/>
      <c r="XFD15" s="66"/>
    </row>
    <row r="16" spans="1:16384" x14ac:dyDescent="0.25">
      <c r="B16" s="9" t="s">
        <v>30</v>
      </c>
      <c r="C16" s="9" t="s">
        <v>31</v>
      </c>
      <c r="D16" s="9" t="s">
        <v>32</v>
      </c>
      <c r="E16" s="13">
        <f>VALUE(SUMIFS(Tabela4[Estoque disponível],Tabela4[Material],'Ressuprimento 1'!C16))</f>
        <v>40.65</v>
      </c>
      <c r="F16" s="12">
        <v>12</v>
      </c>
      <c r="G16" s="3" t="s">
        <v>388</v>
      </c>
      <c r="H16" s="9" t="s">
        <v>544</v>
      </c>
      <c r="I16" s="13">
        <f>SUMIFS(Tabela1[Estoque disponível],Tabela1[Posição no depósito],Tabela24[[#This Row],[Prox/Atual]],Tabela1[Lote],Tabela24[[#This Row],[Lote]])</f>
        <v>255.9</v>
      </c>
    </row>
    <row r="17" spans="1:16384" x14ac:dyDescent="0.25">
      <c r="B17" s="3" t="s">
        <v>33</v>
      </c>
      <c r="C17" s="3" t="s">
        <v>34</v>
      </c>
      <c r="D17" s="3" t="s">
        <v>35</v>
      </c>
      <c r="E17" s="13">
        <f>VALUE(SUMIFS(Tabela4[Estoque disponível],Tabela4[Material],'Ressuprimento 1'!C17))</f>
        <v>42.45</v>
      </c>
      <c r="F17" s="13">
        <v>12</v>
      </c>
      <c r="G17" s="3" t="s">
        <v>342</v>
      </c>
      <c r="H17" s="3" t="s">
        <v>540</v>
      </c>
      <c r="I17" s="13">
        <f>SUMIFS(Tabela1[Estoque disponível],Tabela1[Posição no depósito],Tabela24[[#This Row],[Prox/Atual]],Tabela1[Lote],Tabela24[[#This Row],[Lote]])</f>
        <v>102.3</v>
      </c>
    </row>
    <row r="18" spans="1:16384" x14ac:dyDescent="0.25">
      <c r="B18" s="3" t="s">
        <v>37</v>
      </c>
      <c r="C18" s="3" t="s">
        <v>36</v>
      </c>
      <c r="D18" s="3" t="s">
        <v>38</v>
      </c>
      <c r="E18" s="13">
        <f>VALUE(SUMIFS(Tabela4[Estoque disponível],Tabela4[Material],'Ressuprimento 1'!C18))</f>
        <v>105.75</v>
      </c>
      <c r="F18" s="13">
        <v>12</v>
      </c>
      <c r="G18" s="3"/>
      <c r="H18" s="3"/>
      <c r="I18" s="13">
        <f>SUMIFS(Tabela1[Estoque disponível],Tabela1[Posição no depósito],Tabela24[[#This Row],[Prox/Atual]],Tabela1[Lote],Tabela24[[#This Row],[Lote]])</f>
        <v>0</v>
      </c>
    </row>
    <row r="19" spans="1:16384" x14ac:dyDescent="0.25">
      <c r="B19" s="3" t="s">
        <v>955</v>
      </c>
      <c r="C19" s="43" t="s">
        <v>451</v>
      </c>
      <c r="D19" s="43" t="s">
        <v>453</v>
      </c>
      <c r="E19" s="13">
        <f>VALUE(SUMIFS(Tabela4[Estoque disponível],Tabela4[Material],'Ressuprimento 1'!C19))</f>
        <v>96.9</v>
      </c>
      <c r="F19" s="13">
        <v>12</v>
      </c>
      <c r="G19" s="3"/>
      <c r="H19" s="3"/>
      <c r="I19" s="13">
        <f>SUMIFS(Tabela1[Estoque disponível],Tabela1[Posição no depósito],Tabela24[[#This Row],[Prox/Atual]],Tabela1[Lote],Tabela24[[#This Row],[Lote]])</f>
        <v>0</v>
      </c>
    </row>
    <row r="20" spans="1:16384" x14ac:dyDescent="0.25">
      <c r="B20" s="3" t="s">
        <v>959</v>
      </c>
      <c r="C20" s="68" t="s">
        <v>678</v>
      </c>
      <c r="D20" s="43" t="s">
        <v>680</v>
      </c>
      <c r="E20" s="13">
        <f>VALUE(SUMIFS(Tabela4[Estoque disponível],Tabela4[Material],'Ressuprimento 1'!C20))</f>
        <v>67.650000000000006</v>
      </c>
      <c r="F20" s="13">
        <v>12</v>
      </c>
      <c r="G20" s="3"/>
      <c r="H20" s="3"/>
      <c r="I20" s="13">
        <f>SUMIFS(Tabela1[Estoque disponível],Tabela1[Posição no depósito],Tabela24[[#This Row],[Prox/Atual]],Tabela1[Lote],Tabela24[[#This Row],[Lote]])</f>
        <v>0</v>
      </c>
    </row>
    <row r="21" spans="1:16384" x14ac:dyDescent="0.25">
      <c r="B21" s="3" t="s">
        <v>960</v>
      </c>
      <c r="C21" s="91">
        <v>5053143400000580</v>
      </c>
      <c r="D21" s="43" t="s">
        <v>673</v>
      </c>
      <c r="E21" s="13">
        <f>VALUE(SUMIFS(Tabela4[Estoque disponível],Tabela4[Material],'Ressuprimento 1'!C21))</f>
        <v>68.25</v>
      </c>
      <c r="F21" s="13">
        <v>12</v>
      </c>
      <c r="G21" s="3"/>
      <c r="H21" s="3"/>
      <c r="I21" s="13">
        <f>SUMIFS(Tabela1[Estoque disponível],Tabela1[Posição no depósito],Tabela24[[#This Row],[Prox/Atual]],Tabela1[Lote],Tabela24[[#This Row],[Lote]])</f>
        <v>0</v>
      </c>
    </row>
    <row r="22" spans="1:16384" x14ac:dyDescent="0.25">
      <c r="B22" s="66"/>
      <c r="C22" s="66"/>
      <c r="D22" s="66"/>
      <c r="E22" s="67"/>
      <c r="F22" s="67"/>
      <c r="G22" s="66"/>
      <c r="H22" s="66"/>
    </row>
    <row r="23" spans="1:16384" x14ac:dyDescent="0.25">
      <c r="B23" s="8" t="s">
        <v>1267</v>
      </c>
      <c r="C23" s="20" t="s">
        <v>58</v>
      </c>
      <c r="D23" s="20" t="s">
        <v>8</v>
      </c>
      <c r="E23" s="21" t="s">
        <v>0</v>
      </c>
      <c r="F23" s="20" t="s">
        <v>9</v>
      </c>
      <c r="G23" s="20" t="s">
        <v>1</v>
      </c>
      <c r="H23" s="22" t="s">
        <v>28</v>
      </c>
      <c r="I23" s="20" t="s">
        <v>1287</v>
      </c>
    </row>
    <row r="24" spans="1:16384" x14ac:dyDescent="0.25">
      <c r="B24" s="38" t="s">
        <v>1100</v>
      </c>
      <c r="C24" s="57" t="s">
        <v>537</v>
      </c>
      <c r="D24" s="15" t="s">
        <v>539</v>
      </c>
      <c r="E24" s="13">
        <f>VALUE(SUMIFS(Tabela4[Estoque disponível],Tabela4[Material],'Ressuprimento 1'!C24))</f>
        <v>31.5</v>
      </c>
      <c r="F24" s="69">
        <v>12</v>
      </c>
      <c r="G24" s="15"/>
      <c r="H24" s="84"/>
      <c r="I24" s="52">
        <f>SUMIFS(Tabela1[Estoque disponível],Tabela1[Posição no depósito],Tabela2[[#This Row],[Prox/Atual]],Tabela1[Lote],Tabela2[[#This Row],[Lote]])</f>
        <v>0</v>
      </c>
    </row>
    <row r="25" spans="1:16384" x14ac:dyDescent="0.25">
      <c r="B25" s="38" t="s">
        <v>1102</v>
      </c>
      <c r="C25" s="57" t="s">
        <v>375</v>
      </c>
      <c r="D25" s="15" t="s">
        <v>376</v>
      </c>
      <c r="E25" s="13">
        <f>VALUE(SUMIFS(Tabela4[Estoque disponível],Tabela4[Material],'Ressuprimento 1'!C25))</f>
        <v>66.3</v>
      </c>
      <c r="F25" s="69">
        <v>12</v>
      </c>
      <c r="G25" s="15"/>
      <c r="H25" s="84"/>
      <c r="I25" s="52">
        <f>SUMIFS(Tabela1[Estoque disponível],Tabela1[Posição no depósito],Tabela2[[#This Row],[Prox/Atual]],Tabela1[Lote],Tabela2[[#This Row],[Lote]])</f>
        <v>0</v>
      </c>
    </row>
    <row r="26" spans="1:16384" x14ac:dyDescent="0.25">
      <c r="B26" s="38" t="s">
        <v>1103</v>
      </c>
      <c r="C26" s="57" t="s">
        <v>551</v>
      </c>
      <c r="D26" s="15" t="s">
        <v>553</v>
      </c>
      <c r="E26" s="13">
        <f>VALUE(SUMIFS(Tabela4[Estoque disponível],Tabela4[Material],'Ressuprimento 1'!C26))</f>
        <v>92.25</v>
      </c>
      <c r="F26" s="69">
        <v>12</v>
      </c>
      <c r="G26" s="15"/>
      <c r="H26" s="84"/>
      <c r="I26" s="52">
        <f>SUMIFS(Tabela1[Estoque disponível],Tabela1[Posição no depósito],Tabela2[[#This Row],[Prox/Atual]],Tabela1[Lote],Tabela2[[#This Row],[Lote]])</f>
        <v>0</v>
      </c>
    </row>
    <row r="27" spans="1:16384" x14ac:dyDescent="0.25">
      <c r="B27" s="78" t="s">
        <v>46</v>
      </c>
      <c r="C27" s="79" t="s">
        <v>45</v>
      </c>
      <c r="D27" s="79" t="s">
        <v>47</v>
      </c>
      <c r="E27" s="13">
        <f>VALUE(SUMIFS(Tabela4[Estoque disponível],Tabela4[Material],'Ressuprimento 1'!C27))</f>
        <v>55.65</v>
      </c>
      <c r="F27" s="69">
        <v>12</v>
      </c>
      <c r="G27" s="79"/>
      <c r="H27" s="80"/>
      <c r="I27" s="52">
        <f>SUMIFS(Tabela1[Estoque disponível],Tabela1[Posição no depósito],Tabela2[[#This Row],[Prox/Atual]],Tabela1[Lote],Tabela2[[#This Row],[Lote]])</f>
        <v>0</v>
      </c>
    </row>
    <row r="28" spans="1:16384" x14ac:dyDescent="0.25">
      <c r="A28" s="17"/>
      <c r="B28" s="42" t="s">
        <v>1104</v>
      </c>
      <c r="C28" s="43" t="s">
        <v>571</v>
      </c>
      <c r="D28" s="43" t="s">
        <v>573</v>
      </c>
      <c r="E28" s="13">
        <f>VALUE(SUMIFS(Tabela4[Estoque disponível],Tabela4[Material],'Ressuprimento 1'!C28))</f>
        <v>65.849999999999994</v>
      </c>
      <c r="F28" s="69">
        <v>12</v>
      </c>
      <c r="G28" s="43"/>
      <c r="H28" s="82"/>
      <c r="I28" s="52">
        <f>SUMIFS(Tabela1[Estoque disponível],Tabela1[Posição no depósito],Tabela2[[#This Row],[Prox/Atual]],Tabela1[Lote],Tabela2[[#This Row],[Lote]])</f>
        <v>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  <c r="XEO28" s="17"/>
      <c r="XEP28" s="17"/>
      <c r="XEQ28" s="17"/>
      <c r="XER28" s="17"/>
      <c r="XES28" s="17"/>
      <c r="XET28" s="17"/>
      <c r="XEU28" s="17"/>
      <c r="XEV28" s="17"/>
      <c r="XEW28" s="17"/>
      <c r="XEX28" s="17"/>
      <c r="XEY28" s="17"/>
      <c r="XEZ28" s="17"/>
      <c r="XFA28" s="17"/>
      <c r="XFB28" s="17"/>
      <c r="XFC28" s="17"/>
      <c r="XFD28" s="17"/>
    </row>
    <row r="29" spans="1:16384" x14ac:dyDescent="0.25">
      <c r="A29" s="17"/>
      <c r="B29" s="42" t="s">
        <v>1105</v>
      </c>
      <c r="C29" s="43" t="s">
        <v>365</v>
      </c>
      <c r="D29" s="43" t="s">
        <v>367</v>
      </c>
      <c r="E29" s="13">
        <f>VALUE(SUMIFS(Tabela4[Estoque disponível],Tabela4[Material],'Ressuprimento 1'!C29))</f>
        <v>33.9</v>
      </c>
      <c r="F29" s="69">
        <v>12</v>
      </c>
      <c r="G29" s="99"/>
      <c r="H29" s="82"/>
      <c r="I29" s="52">
        <f>SUMIFS(Tabela1[Estoque disponível],Tabela1[Posição no depósito],Tabela2[[#This Row],[Prox/Atual]],Tabela1[Lote],Tabela2[[#This Row],[Lote]])</f>
        <v>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  <c r="XFD29" s="17"/>
    </row>
    <row r="30" spans="1:16384" x14ac:dyDescent="0.25">
      <c r="B30" s="38" t="s">
        <v>48</v>
      </c>
      <c r="C30" s="57" t="s">
        <v>49</v>
      </c>
      <c r="D30" s="15" t="s">
        <v>44</v>
      </c>
      <c r="E30" s="13">
        <f>VALUE(SUMIFS(Tabela4[Estoque disponível],Tabela4[Material],'Ressuprimento 1'!C30))</f>
        <v>137.55000000000001</v>
      </c>
      <c r="F30" s="69">
        <v>12</v>
      </c>
      <c r="G30" s="15"/>
      <c r="H30" s="84"/>
      <c r="I30" s="52">
        <f>SUMIFS(Tabela1[Estoque disponível],Tabela1[Posição no depósito],Tabela2[[#This Row],[Prox/Atual]],Tabela1[Lote],Tabela2[[#This Row],[Lote]])</f>
        <v>0</v>
      </c>
    </row>
    <row r="31" spans="1:16384" x14ac:dyDescent="0.25">
      <c r="A31" s="17"/>
      <c r="B31" s="38" t="s">
        <v>1106</v>
      </c>
      <c r="C31" s="15" t="s">
        <v>468</v>
      </c>
      <c r="D31" s="15" t="s">
        <v>470</v>
      </c>
      <c r="E31" s="13">
        <f>VALUE(SUMIFS(Tabela4[Estoque disponível],Tabela4[Material],'Ressuprimento 1'!C31))</f>
        <v>60</v>
      </c>
      <c r="F31" s="69">
        <v>12</v>
      </c>
      <c r="G31" s="15"/>
      <c r="H31" s="43"/>
      <c r="I31" s="52">
        <f>SUMIFS(Tabela1[Estoque disponível],Tabela1[Posição no depósito],Tabela2[[#This Row],[Prox/Atual]],Tabela1[Lote],Tabela2[[#This Row],[Lote]])</f>
        <v>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  <c r="XEQ31" s="17"/>
      <c r="XER31" s="17"/>
      <c r="XES31" s="17"/>
      <c r="XET31" s="17"/>
      <c r="XEU31" s="17"/>
      <c r="XEV31" s="17"/>
      <c r="XEW31" s="17"/>
      <c r="XEX31" s="17"/>
      <c r="XEY31" s="17"/>
      <c r="XEZ31" s="17"/>
      <c r="XFA31" s="17"/>
      <c r="XFB31" s="17"/>
      <c r="XFC31" s="17"/>
      <c r="XFD31" s="17"/>
    </row>
    <row r="32" spans="1:16384" x14ac:dyDescent="0.25">
      <c r="A32" s="17"/>
      <c r="B32" s="39" t="s">
        <v>1107</v>
      </c>
      <c r="C32" s="30" t="s">
        <v>649</v>
      </c>
      <c r="D32" s="30" t="s">
        <v>651</v>
      </c>
      <c r="E32" s="13">
        <f>VALUE(SUMIFS(Tabela4[Estoque disponível],Tabela4[Material],'Ressuprimento 1'!C32))</f>
        <v>94.05</v>
      </c>
      <c r="F32" s="81">
        <v>12</v>
      </c>
      <c r="G32" s="30"/>
      <c r="H32" s="85"/>
      <c r="I32" s="69">
        <f>SUMIFS(Tabela1[Estoque disponível],Tabela1[Posição no depósito],Tabela2[[#This Row],[Prox/Atual]],Tabela1[Lote],Tabela2[[#This Row],[Lote]])</f>
        <v>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/>
      <c r="BEW32" s="17"/>
      <c r="BEX32" s="17"/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/>
      <c r="BLA32" s="17"/>
      <c r="BLB32" s="17"/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  <c r="BYJ32" s="17"/>
      <c r="BYK32" s="17"/>
      <c r="BYL32" s="17"/>
      <c r="BYM32" s="17"/>
      <c r="BYN32" s="17"/>
      <c r="BYO32" s="17"/>
      <c r="BYP32" s="17"/>
      <c r="BYQ32" s="17"/>
      <c r="BYR32" s="17"/>
      <c r="BYS32" s="17"/>
      <c r="BYT32" s="17"/>
      <c r="BYU32" s="17"/>
      <c r="BYV32" s="17"/>
      <c r="BYW32" s="17"/>
      <c r="BYX32" s="17"/>
      <c r="BYY32" s="17"/>
      <c r="BYZ32" s="17"/>
      <c r="BZA32" s="17"/>
      <c r="BZB32" s="17"/>
      <c r="BZC32" s="17"/>
      <c r="BZD32" s="17"/>
      <c r="BZE32" s="17"/>
      <c r="BZF32" s="17"/>
      <c r="BZG32" s="17"/>
      <c r="BZH32" s="17"/>
      <c r="BZI32" s="17"/>
      <c r="BZJ32" s="17"/>
      <c r="BZK32" s="17"/>
      <c r="BZL32" s="17"/>
      <c r="BZM32" s="17"/>
      <c r="BZN32" s="17"/>
      <c r="BZO32" s="17"/>
      <c r="BZP32" s="17"/>
      <c r="BZQ32" s="17"/>
      <c r="BZR32" s="17"/>
      <c r="BZS32" s="17"/>
      <c r="BZT32" s="17"/>
      <c r="BZU32" s="17"/>
      <c r="BZV32" s="17"/>
      <c r="BZW32" s="17"/>
      <c r="BZX32" s="17"/>
      <c r="BZY32" s="17"/>
      <c r="BZZ32" s="17"/>
      <c r="CAA32" s="17"/>
      <c r="CAB32" s="17"/>
      <c r="CAC32" s="17"/>
      <c r="CAD32" s="17"/>
      <c r="CAE32" s="17"/>
      <c r="CAF32" s="17"/>
      <c r="CAG32" s="17"/>
      <c r="CAH32" s="17"/>
      <c r="CAI32" s="17"/>
      <c r="CAJ32" s="17"/>
      <c r="CAK32" s="17"/>
      <c r="CAL32" s="17"/>
      <c r="CAM32" s="17"/>
      <c r="CAN32" s="17"/>
      <c r="CAO32" s="17"/>
      <c r="CAP32" s="17"/>
      <c r="CAQ32" s="17"/>
      <c r="CAR32" s="17"/>
      <c r="CAS32" s="17"/>
      <c r="CAT32" s="17"/>
      <c r="CAU32" s="17"/>
      <c r="CAV32" s="17"/>
      <c r="CAW32" s="17"/>
      <c r="CAX32" s="17"/>
      <c r="CAY32" s="17"/>
      <c r="CAZ32" s="17"/>
      <c r="CBA32" s="17"/>
      <c r="CBB32" s="17"/>
      <c r="CBC32" s="17"/>
      <c r="CBD32" s="17"/>
      <c r="CBE32" s="17"/>
      <c r="CBF32" s="17"/>
      <c r="CBG32" s="17"/>
      <c r="CBH32" s="17"/>
      <c r="CBI32" s="17"/>
      <c r="CBJ32" s="17"/>
      <c r="CBK32" s="17"/>
      <c r="CBL32" s="17"/>
      <c r="CBM32" s="17"/>
      <c r="CBN32" s="17"/>
      <c r="CBO32" s="17"/>
      <c r="CBP32" s="17"/>
      <c r="CBQ32" s="17"/>
      <c r="CBR32" s="17"/>
      <c r="CBS32" s="17"/>
      <c r="CBT32" s="17"/>
      <c r="CBU32" s="17"/>
      <c r="CBV32" s="17"/>
      <c r="CBW32" s="17"/>
      <c r="CBX32" s="17"/>
      <c r="CBY32" s="17"/>
      <c r="CBZ32" s="17"/>
      <c r="CCA32" s="17"/>
      <c r="CCB32" s="17"/>
      <c r="CCC32" s="17"/>
      <c r="CCD32" s="17"/>
      <c r="CCE32" s="17"/>
      <c r="CCF32" s="17"/>
      <c r="CCG32" s="17"/>
      <c r="CCH32" s="17"/>
      <c r="CCI32" s="17"/>
      <c r="CCJ32" s="17"/>
      <c r="CCK32" s="17"/>
      <c r="CCL32" s="17"/>
      <c r="CCM32" s="17"/>
      <c r="CCN32" s="17"/>
      <c r="CCO32" s="17"/>
      <c r="CCP32" s="17"/>
      <c r="CCQ32" s="17"/>
      <c r="CCR32" s="17"/>
      <c r="CCS32" s="17"/>
      <c r="CCT32" s="17"/>
      <c r="CCU32" s="17"/>
      <c r="CCV32" s="17"/>
      <c r="CCW32" s="17"/>
      <c r="CCX32" s="17"/>
      <c r="CCY32" s="17"/>
      <c r="CCZ32" s="17"/>
      <c r="CDA32" s="17"/>
      <c r="CDB32" s="17"/>
      <c r="CDC32" s="17"/>
      <c r="CDD32" s="17"/>
      <c r="CDE32" s="17"/>
      <c r="CDF32" s="17"/>
      <c r="CDG32" s="17"/>
      <c r="CDH32" s="17"/>
      <c r="CDI32" s="17"/>
      <c r="CDJ32" s="17"/>
      <c r="CDK32" s="17"/>
      <c r="CDL32" s="17"/>
      <c r="CDM32" s="17"/>
      <c r="CDN32" s="17"/>
      <c r="CDO32" s="17"/>
      <c r="CDP32" s="17"/>
      <c r="CDQ32" s="17"/>
      <c r="CDR32" s="17"/>
      <c r="CDS32" s="17"/>
      <c r="CDT32" s="17"/>
      <c r="CDU32" s="17"/>
      <c r="CDV32" s="17"/>
      <c r="CDW32" s="17"/>
      <c r="CDX32" s="17"/>
      <c r="CDY32" s="17"/>
      <c r="CDZ32" s="17"/>
      <c r="CEA32" s="17"/>
      <c r="CEB32" s="17"/>
      <c r="CEC32" s="17"/>
      <c r="CED32" s="17"/>
      <c r="CEE32" s="17"/>
      <c r="CEF32" s="17"/>
      <c r="CEG32" s="17"/>
      <c r="CEH32" s="17"/>
      <c r="CEI32" s="17"/>
      <c r="CEJ32" s="17"/>
      <c r="CEK32" s="17"/>
      <c r="CEL32" s="17"/>
      <c r="CEM32" s="17"/>
      <c r="CEN32" s="17"/>
      <c r="CEO32" s="17"/>
      <c r="CEP32" s="17"/>
      <c r="CEQ32" s="17"/>
      <c r="CER32" s="17"/>
      <c r="CES32" s="17"/>
      <c r="CET32" s="17"/>
      <c r="CEU32" s="17"/>
      <c r="CEV32" s="17"/>
      <c r="CEW32" s="17"/>
      <c r="CEX32" s="17"/>
      <c r="CEY32" s="17"/>
      <c r="CEZ32" s="17"/>
      <c r="CFA32" s="17"/>
      <c r="CFB32" s="17"/>
      <c r="CFC32" s="17"/>
      <c r="CFD32" s="17"/>
      <c r="CFE32" s="17"/>
      <c r="CFF32" s="17"/>
      <c r="CFG32" s="17"/>
      <c r="CFH32" s="17"/>
      <c r="CFI32" s="17"/>
      <c r="CFJ32" s="17"/>
      <c r="CFK32" s="17"/>
      <c r="CFL32" s="17"/>
      <c r="CFM32" s="17"/>
      <c r="CFN32" s="17"/>
      <c r="CFO32" s="17"/>
      <c r="CFP32" s="17"/>
      <c r="CFQ32" s="17"/>
      <c r="CFR32" s="17"/>
      <c r="CFS32" s="17"/>
      <c r="CFT32" s="17"/>
      <c r="CFU32" s="17"/>
      <c r="CFV32" s="17"/>
      <c r="CFW32" s="17"/>
      <c r="CFX32" s="17"/>
      <c r="CFY32" s="17"/>
      <c r="CFZ32" s="17"/>
      <c r="CGA32" s="17"/>
      <c r="CGB32" s="17"/>
      <c r="CGC32" s="17"/>
      <c r="CGD32" s="17"/>
      <c r="CGE32" s="17"/>
      <c r="CGF32" s="17"/>
      <c r="CGG32" s="17"/>
      <c r="CGH32" s="17"/>
      <c r="CGI32" s="17"/>
      <c r="CGJ32" s="17"/>
      <c r="CGK32" s="17"/>
      <c r="CGL32" s="17"/>
      <c r="CGM32" s="17"/>
      <c r="CGN32" s="17"/>
      <c r="CGO32" s="17"/>
      <c r="CGP32" s="17"/>
      <c r="CGQ32" s="17"/>
      <c r="CGR32" s="17"/>
      <c r="CGS32" s="17"/>
      <c r="CGT32" s="17"/>
      <c r="CGU32" s="17"/>
      <c r="CGV32" s="17"/>
      <c r="CGW32" s="17"/>
      <c r="CGX32" s="17"/>
      <c r="CGY32" s="17"/>
      <c r="CGZ32" s="17"/>
      <c r="CHA32" s="17"/>
      <c r="CHB32" s="17"/>
      <c r="CHC32" s="17"/>
      <c r="CHD32" s="17"/>
      <c r="CHE32" s="17"/>
      <c r="CHF32" s="17"/>
      <c r="CHG32" s="17"/>
      <c r="CHH32" s="17"/>
      <c r="CHI32" s="17"/>
      <c r="CHJ32" s="17"/>
      <c r="CHK32" s="17"/>
      <c r="CHL32" s="17"/>
      <c r="CHM32" s="17"/>
      <c r="CHN32" s="17"/>
      <c r="CHO32" s="17"/>
      <c r="CHP32" s="17"/>
      <c r="CHQ32" s="17"/>
      <c r="CHR32" s="17"/>
      <c r="CHS32" s="17"/>
      <c r="CHT32" s="17"/>
      <c r="CHU32" s="17"/>
      <c r="CHV32" s="17"/>
      <c r="CHW32" s="17"/>
      <c r="CHX32" s="17"/>
      <c r="CHY32" s="17"/>
      <c r="CHZ32" s="17"/>
      <c r="CIA32" s="17"/>
      <c r="CIB32" s="17"/>
      <c r="CIC32" s="17"/>
      <c r="CID32" s="17"/>
      <c r="CIE32" s="17"/>
      <c r="CIF32" s="17"/>
      <c r="CIG32" s="17"/>
      <c r="CIH32" s="17"/>
      <c r="CII32" s="17"/>
      <c r="CIJ32" s="17"/>
      <c r="CIK32" s="17"/>
      <c r="CIL32" s="17"/>
      <c r="CIM32" s="17"/>
      <c r="CIN32" s="17"/>
      <c r="CIO32" s="17"/>
      <c r="CIP32" s="17"/>
      <c r="CIQ32" s="17"/>
      <c r="CIR32" s="17"/>
      <c r="CIS32" s="17"/>
      <c r="CIT32" s="17"/>
      <c r="CIU32" s="17"/>
      <c r="CIV32" s="17"/>
      <c r="CIW32" s="17"/>
      <c r="CIX32" s="17"/>
      <c r="CIY32" s="17"/>
      <c r="CIZ32" s="17"/>
      <c r="CJA32" s="17"/>
      <c r="CJB32" s="17"/>
      <c r="CJC32" s="17"/>
      <c r="CJD32" s="17"/>
      <c r="CJE32" s="17"/>
      <c r="CJF32" s="17"/>
      <c r="CJG32" s="17"/>
      <c r="CJH32" s="17"/>
      <c r="CJI32" s="17"/>
      <c r="CJJ32" s="17"/>
      <c r="CJK32" s="17"/>
      <c r="CJL32" s="17"/>
      <c r="CJM32" s="17"/>
      <c r="CJN32" s="17"/>
      <c r="CJO32" s="17"/>
      <c r="CJP32" s="17"/>
      <c r="CJQ32" s="17"/>
      <c r="CJR32" s="17"/>
      <c r="CJS32" s="17"/>
      <c r="CJT32" s="17"/>
      <c r="CJU32" s="17"/>
      <c r="CJV32" s="17"/>
      <c r="CJW32" s="17"/>
      <c r="CJX32" s="17"/>
      <c r="CJY32" s="17"/>
      <c r="CJZ32" s="17"/>
      <c r="CKA32" s="17"/>
      <c r="CKB32" s="17"/>
      <c r="CKC32" s="17"/>
      <c r="CKD32" s="17"/>
      <c r="CKE32" s="17"/>
      <c r="CKF32" s="17"/>
      <c r="CKG32" s="17"/>
      <c r="CKH32" s="17"/>
      <c r="CKI32" s="17"/>
      <c r="CKJ32" s="17"/>
      <c r="CKK32" s="17"/>
      <c r="CKL32" s="17"/>
      <c r="CKM32" s="17"/>
      <c r="CKN32" s="17"/>
      <c r="CKO32" s="17"/>
      <c r="CKP32" s="17"/>
      <c r="CKQ32" s="17"/>
      <c r="CKR32" s="17"/>
      <c r="CKS32" s="17"/>
      <c r="CKT32" s="17"/>
      <c r="CKU32" s="17"/>
      <c r="CKV32" s="17"/>
      <c r="CKW32" s="17"/>
      <c r="CKX32" s="17"/>
      <c r="CKY32" s="17"/>
      <c r="CKZ32" s="17"/>
      <c r="CLA32" s="17"/>
      <c r="CLB32" s="17"/>
      <c r="CLC32" s="17"/>
      <c r="CLD32" s="17"/>
      <c r="CLE32" s="17"/>
      <c r="CLF32" s="17"/>
      <c r="CLG32" s="17"/>
      <c r="CLH32" s="17"/>
      <c r="CLI32" s="17"/>
      <c r="CLJ32" s="17"/>
      <c r="CLK32" s="17"/>
      <c r="CLL32" s="17"/>
      <c r="CLM32" s="17"/>
      <c r="CLN32" s="17"/>
      <c r="CLO32" s="17"/>
      <c r="CLP32" s="17"/>
      <c r="CLQ32" s="17"/>
      <c r="CLR32" s="17"/>
      <c r="CLS32" s="17"/>
      <c r="CLT32" s="17"/>
      <c r="CLU32" s="17"/>
      <c r="CLV32" s="17"/>
      <c r="CLW32" s="17"/>
      <c r="CLX32" s="17"/>
      <c r="CLY32" s="17"/>
      <c r="CLZ32" s="17"/>
      <c r="CMA32" s="17"/>
      <c r="CMB32" s="17"/>
      <c r="CMC32" s="17"/>
      <c r="CMD32" s="17"/>
      <c r="CME32" s="17"/>
      <c r="CMF32" s="17"/>
      <c r="CMG32" s="17"/>
      <c r="CMH32" s="17"/>
      <c r="CMI32" s="17"/>
      <c r="CMJ32" s="17"/>
      <c r="CMK32" s="17"/>
      <c r="CML32" s="17"/>
      <c r="CMM32" s="17"/>
      <c r="CMN32" s="17"/>
      <c r="CMO32" s="17"/>
      <c r="CMP32" s="17"/>
      <c r="CMQ32" s="17"/>
      <c r="CMR32" s="17"/>
      <c r="CMS32" s="17"/>
      <c r="CMT32" s="17"/>
      <c r="CMU32" s="17"/>
      <c r="CMV32" s="17"/>
      <c r="CMW32" s="17"/>
      <c r="CMX32" s="17"/>
      <c r="CMY32" s="17"/>
      <c r="CMZ32" s="17"/>
      <c r="CNA32" s="17"/>
      <c r="CNB32" s="17"/>
      <c r="CNC32" s="17"/>
      <c r="CND32" s="17"/>
      <c r="CNE32" s="17"/>
      <c r="CNF32" s="17"/>
      <c r="CNG32" s="17"/>
      <c r="CNH32" s="17"/>
      <c r="CNI32" s="17"/>
      <c r="CNJ32" s="17"/>
      <c r="CNK32" s="17"/>
      <c r="CNL32" s="17"/>
      <c r="CNM32" s="17"/>
      <c r="CNN32" s="17"/>
      <c r="CNO32" s="17"/>
      <c r="CNP32" s="17"/>
      <c r="CNQ32" s="17"/>
      <c r="CNR32" s="17"/>
      <c r="CNS32" s="17"/>
      <c r="CNT32" s="17"/>
      <c r="CNU32" s="17"/>
      <c r="CNV32" s="17"/>
      <c r="CNW32" s="17"/>
      <c r="CNX32" s="17"/>
      <c r="CNY32" s="17"/>
      <c r="CNZ32" s="17"/>
      <c r="COA32" s="17"/>
      <c r="COB32" s="17"/>
      <c r="COC32" s="17"/>
      <c r="COD32" s="17"/>
      <c r="COE32" s="17"/>
      <c r="COF32" s="17"/>
      <c r="COG32" s="17"/>
      <c r="COH32" s="17"/>
      <c r="COI32" s="17"/>
      <c r="COJ32" s="17"/>
      <c r="COK32" s="17"/>
      <c r="COL32" s="17"/>
      <c r="COM32" s="17"/>
      <c r="CON32" s="17"/>
      <c r="COO32" s="17"/>
      <c r="COP32" s="17"/>
      <c r="COQ32" s="17"/>
      <c r="COR32" s="17"/>
      <c r="COS32" s="17"/>
      <c r="COT32" s="17"/>
      <c r="COU32" s="17"/>
      <c r="COV32" s="17"/>
      <c r="COW32" s="17"/>
      <c r="COX32" s="17"/>
      <c r="COY32" s="17"/>
      <c r="COZ32" s="17"/>
      <c r="CPA32" s="17"/>
      <c r="CPB32" s="17"/>
      <c r="CPC32" s="17"/>
      <c r="CPD32" s="17"/>
      <c r="CPE32" s="17"/>
      <c r="CPF32" s="17"/>
      <c r="CPG32" s="17"/>
      <c r="CPH32" s="17"/>
      <c r="CPI32" s="17"/>
      <c r="CPJ32" s="17"/>
      <c r="CPK32" s="17"/>
      <c r="CPL32" s="17"/>
      <c r="CPM32" s="17"/>
      <c r="CPN32" s="17"/>
      <c r="CPO32" s="17"/>
      <c r="CPP32" s="17"/>
      <c r="CPQ32" s="17"/>
      <c r="CPR32" s="17"/>
      <c r="CPS32" s="17"/>
      <c r="CPT32" s="17"/>
      <c r="CPU32" s="17"/>
      <c r="CPV32" s="17"/>
      <c r="CPW32" s="17"/>
      <c r="CPX32" s="17"/>
      <c r="CPY32" s="17"/>
      <c r="CPZ32" s="17"/>
      <c r="CQA32" s="17"/>
      <c r="CQB32" s="17"/>
      <c r="CQC32" s="17"/>
      <c r="CQD32" s="17"/>
      <c r="CQE32" s="17"/>
      <c r="CQF32" s="17"/>
      <c r="CQG32" s="17"/>
      <c r="CQH32" s="17"/>
      <c r="CQI32" s="17"/>
      <c r="CQJ32" s="17"/>
      <c r="CQK32" s="17"/>
      <c r="CQL32" s="17"/>
      <c r="CQM32" s="17"/>
      <c r="CQN32" s="17"/>
      <c r="CQO32" s="17"/>
      <c r="CQP32" s="17"/>
      <c r="CQQ32" s="17"/>
      <c r="CQR32" s="17"/>
      <c r="CQS32" s="17"/>
      <c r="CQT32" s="17"/>
      <c r="CQU32" s="17"/>
      <c r="CQV32" s="17"/>
      <c r="CQW32" s="17"/>
      <c r="CQX32" s="17"/>
      <c r="CQY32" s="17"/>
      <c r="CQZ32" s="17"/>
      <c r="CRA32" s="17"/>
      <c r="CRB32" s="17"/>
      <c r="CRC32" s="17"/>
      <c r="CRD32" s="17"/>
      <c r="CRE32" s="17"/>
      <c r="CRF32" s="17"/>
      <c r="CRG32" s="17"/>
      <c r="CRH32" s="17"/>
      <c r="CRI32" s="17"/>
      <c r="CRJ32" s="17"/>
      <c r="CRK32" s="17"/>
      <c r="CRL32" s="17"/>
      <c r="CRM32" s="17"/>
      <c r="CRN32" s="17"/>
      <c r="CRO32" s="17"/>
      <c r="CRP32" s="17"/>
      <c r="CRQ32" s="17"/>
      <c r="CRR32" s="17"/>
      <c r="CRS32" s="17"/>
      <c r="CRT32" s="17"/>
      <c r="CRU32" s="17"/>
      <c r="CRV32" s="17"/>
      <c r="CRW32" s="17"/>
      <c r="CRX32" s="17"/>
      <c r="CRY32" s="17"/>
      <c r="CRZ32" s="17"/>
      <c r="CSA32" s="17"/>
      <c r="CSB32" s="17"/>
      <c r="CSC32" s="17"/>
      <c r="CSD32" s="17"/>
      <c r="CSE32" s="17"/>
      <c r="CSF32" s="17"/>
      <c r="CSG32" s="17"/>
      <c r="CSH32" s="17"/>
      <c r="CSI32" s="17"/>
      <c r="CSJ32" s="17"/>
      <c r="CSK32" s="17"/>
      <c r="CSL32" s="17"/>
      <c r="CSM32" s="17"/>
      <c r="CSN32" s="17"/>
      <c r="CSO32" s="17"/>
      <c r="CSP32" s="17"/>
      <c r="CSQ32" s="17"/>
      <c r="CSR32" s="17"/>
      <c r="CSS32" s="17"/>
      <c r="CST32" s="17"/>
      <c r="CSU32" s="17"/>
      <c r="CSV32" s="17"/>
      <c r="CSW32" s="17"/>
      <c r="CSX32" s="17"/>
      <c r="CSY32" s="17"/>
      <c r="CSZ32" s="17"/>
      <c r="CTA32" s="17"/>
      <c r="CTB32" s="17"/>
      <c r="CTC32" s="17"/>
      <c r="CTD32" s="17"/>
      <c r="CTE32" s="17"/>
      <c r="CTF32" s="17"/>
      <c r="CTG32" s="17"/>
      <c r="CTH32" s="17"/>
      <c r="CTI32" s="17"/>
      <c r="CTJ32" s="17"/>
      <c r="CTK32" s="17"/>
      <c r="CTL32" s="17"/>
      <c r="CTM32" s="17"/>
      <c r="CTN32" s="17"/>
      <c r="CTO32" s="17"/>
      <c r="CTP32" s="17"/>
      <c r="CTQ32" s="17"/>
      <c r="CTR32" s="17"/>
      <c r="CTS32" s="17"/>
      <c r="CTT32" s="17"/>
      <c r="CTU32" s="17"/>
      <c r="CTV32" s="17"/>
      <c r="CTW32" s="17"/>
      <c r="CTX32" s="17"/>
      <c r="CTY32" s="17"/>
      <c r="CTZ32" s="17"/>
      <c r="CUA32" s="17"/>
      <c r="CUB32" s="17"/>
      <c r="CUC32" s="17"/>
      <c r="CUD32" s="17"/>
      <c r="CUE32" s="17"/>
      <c r="CUF32" s="17"/>
      <c r="CUG32" s="17"/>
      <c r="CUH32" s="17"/>
      <c r="CUI32" s="17"/>
      <c r="CUJ32" s="17"/>
      <c r="CUK32" s="17"/>
      <c r="CUL32" s="17"/>
      <c r="CUM32" s="17"/>
      <c r="CUN32" s="17"/>
      <c r="CUO32" s="17"/>
      <c r="CUP32" s="17"/>
      <c r="CUQ32" s="17"/>
      <c r="CUR32" s="17"/>
      <c r="CUS32" s="17"/>
      <c r="CUT32" s="17"/>
      <c r="CUU32" s="17"/>
      <c r="CUV32" s="17"/>
      <c r="CUW32" s="17"/>
      <c r="CUX32" s="17"/>
      <c r="CUY32" s="17"/>
      <c r="CUZ32" s="17"/>
      <c r="CVA32" s="17"/>
      <c r="CVB32" s="17"/>
      <c r="CVC32" s="17"/>
      <c r="CVD32" s="17"/>
      <c r="CVE32" s="17"/>
      <c r="CVF32" s="17"/>
      <c r="CVG32" s="17"/>
      <c r="CVH32" s="17"/>
      <c r="CVI32" s="17"/>
      <c r="CVJ32" s="17"/>
      <c r="CVK32" s="17"/>
      <c r="CVL32" s="17"/>
      <c r="CVM32" s="17"/>
      <c r="CVN32" s="17"/>
      <c r="CVO32" s="17"/>
      <c r="CVP32" s="17"/>
      <c r="CVQ32" s="17"/>
      <c r="CVR32" s="17"/>
      <c r="CVS32" s="17"/>
      <c r="CVT32" s="17"/>
      <c r="CVU32" s="17"/>
      <c r="CVV32" s="17"/>
      <c r="CVW32" s="17"/>
      <c r="CVX32" s="17"/>
      <c r="CVY32" s="17"/>
      <c r="CVZ32" s="17"/>
      <c r="CWA32" s="17"/>
      <c r="CWB32" s="17"/>
      <c r="CWC32" s="17"/>
      <c r="CWD32" s="17"/>
      <c r="CWE32" s="17"/>
      <c r="CWF32" s="17"/>
      <c r="CWG32" s="17"/>
      <c r="CWH32" s="17"/>
      <c r="CWI32" s="17"/>
      <c r="CWJ32" s="17"/>
      <c r="CWK32" s="17"/>
      <c r="CWL32" s="17"/>
      <c r="CWM32" s="17"/>
      <c r="CWN32" s="17"/>
      <c r="CWO32" s="17"/>
      <c r="CWP32" s="17"/>
      <c r="CWQ32" s="17"/>
      <c r="CWR32" s="17"/>
      <c r="CWS32" s="17"/>
      <c r="CWT32" s="17"/>
      <c r="CWU32" s="17"/>
      <c r="CWV32" s="17"/>
      <c r="CWW32" s="17"/>
      <c r="CWX32" s="17"/>
      <c r="CWY32" s="17"/>
      <c r="CWZ32" s="17"/>
      <c r="CXA32" s="17"/>
      <c r="CXB32" s="17"/>
      <c r="CXC32" s="17"/>
      <c r="CXD32" s="17"/>
      <c r="CXE32" s="17"/>
      <c r="CXF32" s="17"/>
      <c r="CXG32" s="17"/>
      <c r="CXH32" s="17"/>
      <c r="CXI32" s="17"/>
      <c r="CXJ32" s="17"/>
      <c r="CXK32" s="17"/>
      <c r="CXL32" s="17"/>
      <c r="CXM32" s="17"/>
      <c r="CXN32" s="17"/>
      <c r="CXO32" s="17"/>
      <c r="CXP32" s="17"/>
      <c r="CXQ32" s="17"/>
      <c r="CXR32" s="17"/>
      <c r="CXS32" s="17"/>
      <c r="CXT32" s="17"/>
      <c r="CXU32" s="17"/>
      <c r="CXV32" s="17"/>
      <c r="CXW32" s="17"/>
      <c r="CXX32" s="17"/>
      <c r="CXY32" s="17"/>
      <c r="CXZ32" s="17"/>
      <c r="CYA32" s="17"/>
      <c r="CYB32" s="17"/>
      <c r="CYC32" s="17"/>
      <c r="CYD32" s="17"/>
      <c r="CYE32" s="17"/>
      <c r="CYF32" s="17"/>
      <c r="CYG32" s="17"/>
      <c r="CYH32" s="17"/>
      <c r="CYI32" s="17"/>
      <c r="CYJ32" s="17"/>
      <c r="CYK32" s="17"/>
      <c r="CYL32" s="17"/>
      <c r="CYM32" s="17"/>
      <c r="CYN32" s="17"/>
      <c r="CYO32" s="17"/>
      <c r="CYP32" s="17"/>
      <c r="CYQ32" s="17"/>
      <c r="CYR32" s="17"/>
      <c r="CYS32" s="17"/>
      <c r="CYT32" s="17"/>
      <c r="CYU32" s="17"/>
      <c r="CYV32" s="17"/>
      <c r="CYW32" s="17"/>
      <c r="CYX32" s="17"/>
      <c r="CYY32" s="17"/>
      <c r="CYZ32" s="17"/>
      <c r="CZA32" s="17"/>
      <c r="CZB32" s="17"/>
      <c r="CZC32" s="17"/>
      <c r="CZD32" s="17"/>
      <c r="CZE32" s="17"/>
      <c r="CZF32" s="17"/>
      <c r="CZG32" s="17"/>
      <c r="CZH32" s="17"/>
      <c r="CZI32" s="17"/>
      <c r="CZJ32" s="17"/>
      <c r="CZK32" s="17"/>
      <c r="CZL32" s="17"/>
      <c r="CZM32" s="17"/>
      <c r="CZN32" s="17"/>
      <c r="CZO32" s="17"/>
      <c r="CZP32" s="17"/>
      <c r="CZQ32" s="17"/>
      <c r="CZR32" s="17"/>
      <c r="CZS32" s="17"/>
      <c r="CZT32" s="17"/>
      <c r="CZU32" s="17"/>
      <c r="CZV32" s="17"/>
      <c r="CZW32" s="17"/>
      <c r="CZX32" s="17"/>
      <c r="CZY32" s="17"/>
      <c r="CZZ32" s="17"/>
      <c r="DAA32" s="17"/>
      <c r="DAB32" s="17"/>
      <c r="DAC32" s="17"/>
      <c r="DAD32" s="17"/>
      <c r="DAE32" s="17"/>
      <c r="DAF32" s="17"/>
      <c r="DAG32" s="17"/>
      <c r="DAH32" s="17"/>
      <c r="DAI32" s="17"/>
      <c r="DAJ32" s="17"/>
      <c r="DAK32" s="17"/>
      <c r="DAL32" s="17"/>
      <c r="DAM32" s="17"/>
      <c r="DAN32" s="17"/>
      <c r="DAO32" s="17"/>
      <c r="DAP32" s="17"/>
      <c r="DAQ32" s="17"/>
      <c r="DAR32" s="17"/>
      <c r="DAS32" s="17"/>
      <c r="DAT32" s="17"/>
      <c r="DAU32" s="17"/>
      <c r="DAV32" s="17"/>
      <c r="DAW32" s="17"/>
      <c r="DAX32" s="17"/>
      <c r="DAY32" s="17"/>
      <c r="DAZ32" s="17"/>
      <c r="DBA32" s="17"/>
      <c r="DBB32" s="17"/>
      <c r="DBC32" s="17"/>
      <c r="DBD32" s="17"/>
      <c r="DBE32" s="17"/>
      <c r="DBF32" s="17"/>
      <c r="DBG32" s="17"/>
      <c r="DBH32" s="17"/>
      <c r="DBI32" s="17"/>
      <c r="DBJ32" s="17"/>
      <c r="DBK32" s="17"/>
      <c r="DBL32" s="17"/>
      <c r="DBM32" s="17"/>
      <c r="DBN32" s="17"/>
      <c r="DBO32" s="17"/>
      <c r="DBP32" s="17"/>
      <c r="DBQ32" s="17"/>
      <c r="DBR32" s="17"/>
      <c r="DBS32" s="17"/>
      <c r="DBT32" s="17"/>
      <c r="DBU32" s="17"/>
      <c r="DBV32" s="17"/>
      <c r="DBW32" s="17"/>
      <c r="DBX32" s="17"/>
      <c r="DBY32" s="17"/>
      <c r="DBZ32" s="17"/>
      <c r="DCA32" s="17"/>
      <c r="DCB32" s="17"/>
      <c r="DCC32" s="17"/>
      <c r="DCD32" s="17"/>
      <c r="DCE32" s="17"/>
      <c r="DCF32" s="17"/>
      <c r="DCG32" s="17"/>
      <c r="DCH32" s="17"/>
      <c r="DCI32" s="17"/>
      <c r="DCJ32" s="17"/>
      <c r="DCK32" s="17"/>
      <c r="DCL32" s="17"/>
      <c r="DCM32" s="17"/>
      <c r="DCN32" s="17"/>
      <c r="DCO32" s="17"/>
      <c r="DCP32" s="17"/>
      <c r="DCQ32" s="17"/>
      <c r="DCR32" s="17"/>
      <c r="DCS32" s="17"/>
      <c r="DCT32" s="17"/>
      <c r="DCU32" s="17"/>
      <c r="DCV32" s="17"/>
      <c r="DCW32" s="17"/>
      <c r="DCX32" s="17"/>
      <c r="DCY32" s="17"/>
      <c r="DCZ32" s="17"/>
      <c r="DDA32" s="17"/>
      <c r="DDB32" s="17"/>
      <c r="DDC32" s="17"/>
      <c r="DDD32" s="17"/>
      <c r="DDE32" s="17"/>
      <c r="DDF32" s="17"/>
      <c r="DDG32" s="17"/>
      <c r="DDH32" s="17"/>
      <c r="DDI32" s="17"/>
      <c r="DDJ32" s="17"/>
      <c r="DDK32" s="17"/>
      <c r="DDL32" s="17"/>
      <c r="DDM32" s="17"/>
      <c r="DDN32" s="17"/>
      <c r="DDO32" s="17"/>
      <c r="DDP32" s="17"/>
      <c r="DDQ32" s="17"/>
      <c r="DDR32" s="17"/>
      <c r="DDS32" s="17"/>
      <c r="DDT32" s="17"/>
      <c r="DDU32" s="17"/>
      <c r="DDV32" s="17"/>
      <c r="DDW32" s="17"/>
      <c r="DDX32" s="17"/>
      <c r="DDY32" s="17"/>
      <c r="DDZ32" s="17"/>
      <c r="DEA32" s="17"/>
      <c r="DEB32" s="17"/>
      <c r="DEC32" s="17"/>
      <c r="DED32" s="17"/>
      <c r="DEE32" s="17"/>
      <c r="DEF32" s="17"/>
      <c r="DEG32" s="17"/>
      <c r="DEH32" s="17"/>
      <c r="DEI32" s="17"/>
      <c r="DEJ32" s="17"/>
      <c r="DEK32" s="17"/>
      <c r="DEL32" s="17"/>
      <c r="DEM32" s="17"/>
      <c r="DEN32" s="17"/>
      <c r="DEO32" s="17"/>
      <c r="DEP32" s="17"/>
      <c r="DEQ32" s="17"/>
      <c r="DER32" s="17"/>
      <c r="DES32" s="17"/>
      <c r="DET32" s="17"/>
      <c r="DEU32" s="17"/>
      <c r="DEV32" s="17"/>
      <c r="DEW32" s="17"/>
      <c r="DEX32" s="17"/>
      <c r="DEY32" s="17"/>
      <c r="DEZ32" s="17"/>
      <c r="DFA32" s="17"/>
      <c r="DFB32" s="17"/>
      <c r="DFC32" s="17"/>
      <c r="DFD32" s="17"/>
      <c r="DFE32" s="17"/>
      <c r="DFF32" s="17"/>
      <c r="DFG32" s="17"/>
      <c r="DFH32" s="17"/>
      <c r="DFI32" s="17"/>
      <c r="DFJ32" s="17"/>
      <c r="DFK32" s="17"/>
      <c r="DFL32" s="17"/>
      <c r="DFM32" s="17"/>
      <c r="DFN32" s="17"/>
      <c r="DFO32" s="17"/>
      <c r="DFP32" s="17"/>
      <c r="DFQ32" s="17"/>
      <c r="DFR32" s="17"/>
      <c r="DFS32" s="17"/>
      <c r="DFT32" s="17"/>
      <c r="DFU32" s="17"/>
      <c r="DFV32" s="17"/>
      <c r="DFW32" s="17"/>
      <c r="DFX32" s="17"/>
      <c r="DFY32" s="17"/>
      <c r="DFZ32" s="17"/>
      <c r="DGA32" s="17"/>
      <c r="DGB32" s="17"/>
      <c r="DGC32" s="17"/>
      <c r="DGD32" s="17"/>
      <c r="DGE32" s="17"/>
      <c r="DGF32" s="17"/>
      <c r="DGG32" s="17"/>
      <c r="DGH32" s="17"/>
      <c r="DGI32" s="17"/>
      <c r="DGJ32" s="17"/>
      <c r="DGK32" s="17"/>
      <c r="DGL32" s="17"/>
      <c r="DGM32" s="17"/>
      <c r="DGN32" s="17"/>
      <c r="DGO32" s="17"/>
      <c r="DGP32" s="17"/>
      <c r="DGQ32" s="17"/>
      <c r="DGR32" s="17"/>
      <c r="DGS32" s="17"/>
      <c r="DGT32" s="17"/>
      <c r="DGU32" s="17"/>
      <c r="DGV32" s="17"/>
      <c r="DGW32" s="17"/>
      <c r="DGX32" s="17"/>
      <c r="DGY32" s="17"/>
      <c r="DGZ32" s="17"/>
      <c r="DHA32" s="17"/>
      <c r="DHB32" s="17"/>
      <c r="DHC32" s="17"/>
      <c r="DHD32" s="17"/>
      <c r="DHE32" s="17"/>
      <c r="DHF32" s="17"/>
      <c r="DHG32" s="17"/>
      <c r="DHH32" s="17"/>
      <c r="DHI32" s="17"/>
      <c r="DHJ32" s="17"/>
      <c r="DHK32" s="17"/>
      <c r="DHL32" s="17"/>
      <c r="DHM32" s="17"/>
      <c r="DHN32" s="17"/>
      <c r="DHO32" s="17"/>
      <c r="DHP32" s="17"/>
      <c r="DHQ32" s="17"/>
      <c r="DHR32" s="17"/>
      <c r="DHS32" s="17"/>
      <c r="DHT32" s="17"/>
      <c r="DHU32" s="17"/>
      <c r="DHV32" s="17"/>
      <c r="DHW32" s="17"/>
      <c r="DHX32" s="17"/>
      <c r="DHY32" s="17"/>
      <c r="DHZ32" s="17"/>
      <c r="DIA32" s="17"/>
      <c r="DIB32" s="17"/>
      <c r="DIC32" s="17"/>
      <c r="DID32" s="17"/>
      <c r="DIE32" s="17"/>
      <c r="DIF32" s="17"/>
      <c r="DIG32" s="17"/>
      <c r="DIH32" s="17"/>
      <c r="DII32" s="17"/>
      <c r="DIJ32" s="17"/>
      <c r="DIK32" s="17"/>
      <c r="DIL32" s="17"/>
      <c r="DIM32" s="17"/>
      <c r="DIN32" s="17"/>
      <c r="DIO32" s="17"/>
      <c r="DIP32" s="17"/>
      <c r="DIQ32" s="17"/>
      <c r="DIR32" s="17"/>
      <c r="DIS32" s="17"/>
      <c r="DIT32" s="17"/>
      <c r="DIU32" s="17"/>
      <c r="DIV32" s="17"/>
      <c r="DIW32" s="17"/>
      <c r="DIX32" s="17"/>
      <c r="DIY32" s="17"/>
      <c r="DIZ32" s="17"/>
      <c r="DJA32" s="17"/>
      <c r="DJB32" s="17"/>
      <c r="DJC32" s="17"/>
      <c r="DJD32" s="17"/>
      <c r="DJE32" s="17"/>
      <c r="DJF32" s="17"/>
      <c r="DJG32" s="17"/>
      <c r="DJH32" s="17"/>
      <c r="DJI32" s="17"/>
      <c r="DJJ32" s="17"/>
      <c r="DJK32" s="17"/>
      <c r="DJL32" s="17"/>
      <c r="DJM32" s="17"/>
      <c r="DJN32" s="17"/>
      <c r="DJO32" s="17"/>
      <c r="DJP32" s="17"/>
      <c r="DJQ32" s="17"/>
      <c r="DJR32" s="17"/>
      <c r="DJS32" s="17"/>
      <c r="DJT32" s="17"/>
      <c r="DJU32" s="17"/>
      <c r="DJV32" s="17"/>
      <c r="DJW32" s="17"/>
      <c r="DJX32" s="17"/>
      <c r="DJY32" s="17"/>
      <c r="DJZ32" s="17"/>
      <c r="DKA32" s="17"/>
      <c r="DKB32" s="17"/>
      <c r="DKC32" s="17"/>
      <c r="DKD32" s="17"/>
      <c r="DKE32" s="17"/>
      <c r="DKF32" s="17"/>
      <c r="DKG32" s="17"/>
      <c r="DKH32" s="17"/>
      <c r="DKI32" s="17"/>
      <c r="DKJ32" s="17"/>
      <c r="DKK32" s="17"/>
      <c r="DKL32" s="17"/>
      <c r="DKM32" s="17"/>
      <c r="DKN32" s="17"/>
      <c r="DKO32" s="17"/>
      <c r="DKP32" s="17"/>
      <c r="DKQ32" s="17"/>
      <c r="DKR32" s="17"/>
      <c r="DKS32" s="17"/>
      <c r="DKT32" s="17"/>
      <c r="DKU32" s="17"/>
      <c r="DKV32" s="17"/>
      <c r="DKW32" s="17"/>
      <c r="DKX32" s="17"/>
      <c r="DKY32" s="17"/>
      <c r="DKZ32" s="17"/>
      <c r="DLA32" s="17"/>
      <c r="DLB32" s="17"/>
      <c r="DLC32" s="17"/>
      <c r="DLD32" s="17"/>
      <c r="DLE32" s="17"/>
      <c r="DLF32" s="17"/>
      <c r="DLG32" s="17"/>
      <c r="DLH32" s="17"/>
      <c r="DLI32" s="17"/>
      <c r="DLJ32" s="17"/>
      <c r="DLK32" s="17"/>
      <c r="DLL32" s="17"/>
      <c r="DLM32" s="17"/>
      <c r="DLN32" s="17"/>
      <c r="DLO32" s="17"/>
      <c r="DLP32" s="17"/>
      <c r="DLQ32" s="17"/>
      <c r="DLR32" s="17"/>
      <c r="DLS32" s="17"/>
      <c r="DLT32" s="17"/>
      <c r="DLU32" s="17"/>
      <c r="DLV32" s="17"/>
      <c r="DLW32" s="17"/>
      <c r="DLX32" s="17"/>
      <c r="DLY32" s="17"/>
      <c r="DLZ32" s="17"/>
      <c r="DMA32" s="17"/>
      <c r="DMB32" s="17"/>
      <c r="DMC32" s="17"/>
      <c r="DMD32" s="17"/>
      <c r="DME32" s="17"/>
      <c r="DMF32" s="17"/>
      <c r="DMG32" s="17"/>
      <c r="DMH32" s="17"/>
      <c r="DMI32" s="17"/>
      <c r="DMJ32" s="17"/>
      <c r="DMK32" s="17"/>
      <c r="DML32" s="17"/>
      <c r="DMM32" s="17"/>
      <c r="DMN32" s="17"/>
      <c r="DMO32" s="17"/>
      <c r="DMP32" s="17"/>
      <c r="DMQ32" s="17"/>
      <c r="DMR32" s="17"/>
      <c r="DMS32" s="17"/>
      <c r="DMT32" s="17"/>
      <c r="DMU32" s="17"/>
      <c r="DMV32" s="17"/>
      <c r="DMW32" s="17"/>
      <c r="DMX32" s="17"/>
      <c r="DMY32" s="17"/>
      <c r="DMZ32" s="17"/>
      <c r="DNA32" s="17"/>
      <c r="DNB32" s="17"/>
      <c r="DNC32" s="17"/>
      <c r="DND32" s="17"/>
      <c r="DNE32" s="17"/>
      <c r="DNF32" s="17"/>
      <c r="DNG32" s="17"/>
      <c r="DNH32" s="17"/>
      <c r="DNI32" s="17"/>
      <c r="DNJ32" s="17"/>
      <c r="DNK32" s="17"/>
      <c r="DNL32" s="17"/>
      <c r="DNM32" s="17"/>
      <c r="DNN32" s="17"/>
      <c r="DNO32" s="17"/>
      <c r="DNP32" s="17"/>
      <c r="DNQ32" s="17"/>
      <c r="DNR32" s="17"/>
      <c r="DNS32" s="17"/>
      <c r="DNT32" s="17"/>
      <c r="DNU32" s="17"/>
      <c r="DNV32" s="17"/>
      <c r="DNW32" s="17"/>
      <c r="DNX32" s="17"/>
      <c r="DNY32" s="17"/>
      <c r="DNZ32" s="17"/>
      <c r="DOA32" s="17"/>
      <c r="DOB32" s="17"/>
      <c r="DOC32" s="17"/>
      <c r="DOD32" s="17"/>
      <c r="DOE32" s="17"/>
      <c r="DOF32" s="17"/>
      <c r="DOG32" s="17"/>
      <c r="DOH32" s="17"/>
      <c r="DOI32" s="17"/>
      <c r="DOJ32" s="17"/>
      <c r="DOK32" s="17"/>
      <c r="DOL32" s="17"/>
      <c r="DOM32" s="17"/>
      <c r="DON32" s="17"/>
      <c r="DOO32" s="17"/>
      <c r="DOP32" s="17"/>
      <c r="DOQ32" s="17"/>
      <c r="DOR32" s="17"/>
      <c r="DOS32" s="17"/>
      <c r="DOT32" s="17"/>
      <c r="DOU32" s="17"/>
      <c r="DOV32" s="17"/>
      <c r="DOW32" s="17"/>
      <c r="DOX32" s="17"/>
      <c r="DOY32" s="17"/>
      <c r="DOZ32" s="17"/>
      <c r="DPA32" s="17"/>
      <c r="DPB32" s="17"/>
      <c r="DPC32" s="17"/>
      <c r="DPD32" s="17"/>
      <c r="DPE32" s="17"/>
      <c r="DPF32" s="17"/>
      <c r="DPG32" s="17"/>
      <c r="DPH32" s="17"/>
      <c r="DPI32" s="17"/>
      <c r="DPJ32" s="17"/>
      <c r="DPK32" s="17"/>
      <c r="DPL32" s="17"/>
      <c r="DPM32" s="17"/>
      <c r="DPN32" s="17"/>
      <c r="DPO32" s="17"/>
      <c r="DPP32" s="17"/>
      <c r="DPQ32" s="17"/>
      <c r="DPR32" s="17"/>
      <c r="DPS32" s="17"/>
      <c r="DPT32" s="17"/>
      <c r="DPU32" s="17"/>
      <c r="DPV32" s="17"/>
      <c r="DPW32" s="17"/>
      <c r="DPX32" s="17"/>
      <c r="DPY32" s="17"/>
      <c r="DPZ32" s="17"/>
      <c r="DQA32" s="17"/>
      <c r="DQB32" s="17"/>
      <c r="DQC32" s="17"/>
      <c r="DQD32" s="17"/>
      <c r="DQE32" s="17"/>
      <c r="DQF32" s="17"/>
      <c r="DQG32" s="17"/>
      <c r="DQH32" s="17"/>
      <c r="DQI32" s="17"/>
      <c r="DQJ32" s="17"/>
      <c r="DQK32" s="17"/>
      <c r="DQL32" s="17"/>
      <c r="DQM32" s="17"/>
      <c r="DQN32" s="17"/>
      <c r="DQO32" s="17"/>
      <c r="DQP32" s="17"/>
      <c r="DQQ32" s="17"/>
      <c r="DQR32" s="17"/>
      <c r="DQS32" s="17"/>
      <c r="DQT32" s="17"/>
      <c r="DQU32" s="17"/>
      <c r="DQV32" s="17"/>
      <c r="DQW32" s="17"/>
      <c r="DQX32" s="17"/>
      <c r="DQY32" s="17"/>
      <c r="DQZ32" s="17"/>
      <c r="DRA32" s="17"/>
      <c r="DRB32" s="17"/>
      <c r="DRC32" s="17"/>
      <c r="DRD32" s="17"/>
      <c r="DRE32" s="17"/>
      <c r="DRF32" s="17"/>
      <c r="DRG32" s="17"/>
      <c r="DRH32" s="17"/>
      <c r="DRI32" s="17"/>
      <c r="DRJ32" s="17"/>
      <c r="DRK32" s="17"/>
      <c r="DRL32" s="17"/>
      <c r="DRM32" s="17"/>
      <c r="DRN32" s="17"/>
      <c r="DRO32" s="17"/>
      <c r="DRP32" s="17"/>
      <c r="DRQ32" s="17"/>
      <c r="DRR32" s="17"/>
      <c r="DRS32" s="17"/>
      <c r="DRT32" s="17"/>
      <c r="DRU32" s="17"/>
      <c r="DRV32" s="17"/>
      <c r="DRW32" s="17"/>
      <c r="DRX32" s="17"/>
      <c r="DRY32" s="17"/>
      <c r="DRZ32" s="17"/>
      <c r="DSA32" s="17"/>
      <c r="DSB32" s="17"/>
      <c r="DSC32" s="17"/>
      <c r="DSD32" s="17"/>
      <c r="DSE32" s="17"/>
      <c r="DSF32" s="17"/>
      <c r="DSG32" s="17"/>
      <c r="DSH32" s="17"/>
      <c r="DSI32" s="17"/>
      <c r="DSJ32" s="17"/>
      <c r="DSK32" s="17"/>
      <c r="DSL32" s="17"/>
      <c r="DSM32" s="17"/>
      <c r="DSN32" s="17"/>
      <c r="DSO32" s="17"/>
      <c r="DSP32" s="17"/>
      <c r="DSQ32" s="17"/>
      <c r="DSR32" s="17"/>
      <c r="DSS32" s="17"/>
      <c r="DST32" s="17"/>
      <c r="DSU32" s="17"/>
      <c r="DSV32" s="17"/>
      <c r="DSW32" s="17"/>
      <c r="DSX32" s="17"/>
      <c r="DSY32" s="17"/>
      <c r="DSZ32" s="17"/>
      <c r="DTA32" s="17"/>
      <c r="DTB32" s="17"/>
      <c r="DTC32" s="17"/>
      <c r="DTD32" s="17"/>
      <c r="DTE32" s="17"/>
      <c r="DTF32" s="17"/>
      <c r="DTG32" s="17"/>
      <c r="DTH32" s="17"/>
      <c r="DTI32" s="17"/>
      <c r="DTJ32" s="17"/>
      <c r="DTK32" s="17"/>
      <c r="DTL32" s="17"/>
      <c r="DTM32" s="17"/>
      <c r="DTN32" s="17"/>
      <c r="DTO32" s="17"/>
      <c r="DTP32" s="17"/>
      <c r="DTQ32" s="17"/>
      <c r="DTR32" s="17"/>
      <c r="DTS32" s="17"/>
      <c r="DTT32" s="17"/>
      <c r="DTU32" s="17"/>
      <c r="DTV32" s="17"/>
      <c r="DTW32" s="17"/>
      <c r="DTX32" s="17"/>
      <c r="DTY32" s="17"/>
      <c r="DTZ32" s="17"/>
      <c r="DUA32" s="17"/>
      <c r="DUB32" s="17"/>
      <c r="DUC32" s="17"/>
      <c r="DUD32" s="17"/>
      <c r="DUE32" s="17"/>
      <c r="DUF32" s="17"/>
      <c r="DUG32" s="17"/>
      <c r="DUH32" s="17"/>
      <c r="DUI32" s="17"/>
      <c r="DUJ32" s="17"/>
      <c r="DUK32" s="17"/>
      <c r="DUL32" s="17"/>
      <c r="DUM32" s="17"/>
      <c r="DUN32" s="17"/>
      <c r="DUO32" s="17"/>
      <c r="DUP32" s="17"/>
      <c r="DUQ32" s="17"/>
      <c r="DUR32" s="17"/>
      <c r="DUS32" s="17"/>
      <c r="DUT32" s="17"/>
      <c r="DUU32" s="17"/>
      <c r="DUV32" s="17"/>
      <c r="DUW32" s="17"/>
      <c r="DUX32" s="17"/>
      <c r="DUY32" s="17"/>
      <c r="DUZ32" s="17"/>
      <c r="DVA32" s="17"/>
      <c r="DVB32" s="17"/>
      <c r="DVC32" s="17"/>
      <c r="DVD32" s="17"/>
      <c r="DVE32" s="17"/>
      <c r="DVF32" s="17"/>
      <c r="DVG32" s="17"/>
      <c r="DVH32" s="17"/>
      <c r="DVI32" s="17"/>
      <c r="DVJ32" s="17"/>
      <c r="DVK32" s="17"/>
      <c r="DVL32" s="17"/>
      <c r="DVM32" s="17"/>
      <c r="DVN32" s="17"/>
      <c r="DVO32" s="17"/>
      <c r="DVP32" s="17"/>
      <c r="DVQ32" s="17"/>
      <c r="DVR32" s="17"/>
      <c r="DVS32" s="17"/>
      <c r="DVT32" s="17"/>
      <c r="DVU32" s="17"/>
      <c r="DVV32" s="17"/>
      <c r="DVW32" s="17"/>
      <c r="DVX32" s="17"/>
      <c r="DVY32" s="17"/>
      <c r="DVZ32" s="17"/>
      <c r="DWA32" s="17"/>
      <c r="DWB32" s="17"/>
      <c r="DWC32" s="17"/>
      <c r="DWD32" s="17"/>
      <c r="DWE32" s="17"/>
      <c r="DWF32" s="17"/>
      <c r="DWG32" s="17"/>
      <c r="DWH32" s="17"/>
      <c r="DWI32" s="17"/>
      <c r="DWJ32" s="17"/>
      <c r="DWK32" s="17"/>
      <c r="DWL32" s="17"/>
      <c r="DWM32" s="17"/>
      <c r="DWN32" s="17"/>
      <c r="DWO32" s="17"/>
      <c r="DWP32" s="17"/>
      <c r="DWQ32" s="17"/>
      <c r="DWR32" s="17"/>
      <c r="DWS32" s="17"/>
      <c r="DWT32" s="17"/>
      <c r="DWU32" s="17"/>
      <c r="DWV32" s="17"/>
      <c r="DWW32" s="17"/>
      <c r="DWX32" s="17"/>
      <c r="DWY32" s="17"/>
      <c r="DWZ32" s="17"/>
      <c r="DXA32" s="17"/>
      <c r="DXB32" s="17"/>
      <c r="DXC32" s="17"/>
      <c r="DXD32" s="17"/>
      <c r="DXE32" s="17"/>
      <c r="DXF32" s="17"/>
      <c r="DXG32" s="17"/>
      <c r="DXH32" s="17"/>
      <c r="DXI32" s="17"/>
      <c r="DXJ32" s="17"/>
      <c r="DXK32" s="17"/>
      <c r="DXL32" s="17"/>
      <c r="DXM32" s="17"/>
      <c r="DXN32" s="17"/>
      <c r="DXO32" s="17"/>
      <c r="DXP32" s="17"/>
      <c r="DXQ32" s="17"/>
      <c r="DXR32" s="17"/>
      <c r="DXS32" s="17"/>
      <c r="DXT32" s="17"/>
      <c r="DXU32" s="17"/>
      <c r="DXV32" s="17"/>
      <c r="DXW32" s="17"/>
      <c r="DXX32" s="17"/>
      <c r="DXY32" s="17"/>
      <c r="DXZ32" s="17"/>
      <c r="DYA32" s="17"/>
      <c r="DYB32" s="17"/>
      <c r="DYC32" s="17"/>
      <c r="DYD32" s="17"/>
      <c r="DYE32" s="17"/>
      <c r="DYF32" s="17"/>
      <c r="DYG32" s="17"/>
      <c r="DYH32" s="17"/>
      <c r="DYI32" s="17"/>
      <c r="DYJ32" s="17"/>
      <c r="DYK32" s="17"/>
      <c r="DYL32" s="17"/>
      <c r="DYM32" s="17"/>
      <c r="DYN32" s="17"/>
      <c r="DYO32" s="17"/>
      <c r="DYP32" s="17"/>
      <c r="DYQ32" s="17"/>
      <c r="DYR32" s="17"/>
      <c r="DYS32" s="17"/>
      <c r="DYT32" s="17"/>
      <c r="DYU32" s="17"/>
      <c r="DYV32" s="17"/>
      <c r="DYW32" s="17"/>
      <c r="DYX32" s="17"/>
      <c r="DYY32" s="17"/>
      <c r="DYZ32" s="17"/>
      <c r="DZA32" s="17"/>
      <c r="DZB32" s="17"/>
      <c r="DZC32" s="17"/>
      <c r="DZD32" s="17"/>
      <c r="DZE32" s="17"/>
      <c r="DZF32" s="17"/>
      <c r="DZG32" s="17"/>
      <c r="DZH32" s="17"/>
      <c r="DZI32" s="17"/>
      <c r="DZJ32" s="17"/>
      <c r="DZK32" s="17"/>
      <c r="DZL32" s="17"/>
      <c r="DZM32" s="17"/>
      <c r="DZN32" s="17"/>
      <c r="DZO32" s="17"/>
      <c r="DZP32" s="17"/>
      <c r="DZQ32" s="17"/>
      <c r="DZR32" s="17"/>
      <c r="DZS32" s="17"/>
      <c r="DZT32" s="17"/>
      <c r="DZU32" s="17"/>
      <c r="DZV32" s="17"/>
      <c r="DZW32" s="17"/>
      <c r="DZX32" s="17"/>
      <c r="DZY32" s="17"/>
      <c r="DZZ32" s="17"/>
      <c r="EAA32" s="17"/>
      <c r="EAB32" s="17"/>
      <c r="EAC32" s="17"/>
      <c r="EAD32" s="17"/>
      <c r="EAE32" s="17"/>
      <c r="EAF32" s="17"/>
      <c r="EAG32" s="17"/>
      <c r="EAH32" s="17"/>
      <c r="EAI32" s="17"/>
      <c r="EAJ32" s="17"/>
      <c r="EAK32" s="17"/>
      <c r="EAL32" s="17"/>
      <c r="EAM32" s="17"/>
      <c r="EAN32" s="17"/>
      <c r="EAO32" s="17"/>
      <c r="EAP32" s="17"/>
      <c r="EAQ32" s="17"/>
      <c r="EAR32" s="17"/>
      <c r="EAS32" s="17"/>
      <c r="EAT32" s="17"/>
      <c r="EAU32" s="17"/>
      <c r="EAV32" s="17"/>
      <c r="EAW32" s="17"/>
      <c r="EAX32" s="17"/>
      <c r="EAY32" s="17"/>
      <c r="EAZ32" s="17"/>
      <c r="EBA32" s="17"/>
      <c r="EBB32" s="17"/>
      <c r="EBC32" s="17"/>
      <c r="EBD32" s="17"/>
      <c r="EBE32" s="17"/>
      <c r="EBF32" s="17"/>
      <c r="EBG32" s="17"/>
      <c r="EBH32" s="17"/>
      <c r="EBI32" s="17"/>
      <c r="EBJ32" s="17"/>
      <c r="EBK32" s="17"/>
      <c r="EBL32" s="17"/>
      <c r="EBM32" s="17"/>
      <c r="EBN32" s="17"/>
      <c r="EBO32" s="17"/>
      <c r="EBP32" s="17"/>
      <c r="EBQ32" s="17"/>
      <c r="EBR32" s="17"/>
      <c r="EBS32" s="17"/>
      <c r="EBT32" s="17"/>
      <c r="EBU32" s="17"/>
      <c r="EBV32" s="17"/>
      <c r="EBW32" s="17"/>
      <c r="EBX32" s="17"/>
      <c r="EBY32" s="17"/>
      <c r="EBZ32" s="17"/>
      <c r="ECA32" s="17"/>
      <c r="ECB32" s="17"/>
      <c r="ECC32" s="17"/>
      <c r="ECD32" s="17"/>
      <c r="ECE32" s="17"/>
      <c r="ECF32" s="17"/>
      <c r="ECG32" s="17"/>
      <c r="ECH32" s="17"/>
      <c r="ECI32" s="17"/>
      <c r="ECJ32" s="17"/>
      <c r="ECK32" s="17"/>
      <c r="ECL32" s="17"/>
      <c r="ECM32" s="17"/>
      <c r="ECN32" s="17"/>
      <c r="ECO32" s="17"/>
      <c r="ECP32" s="17"/>
      <c r="ECQ32" s="17"/>
      <c r="ECR32" s="17"/>
      <c r="ECS32" s="17"/>
      <c r="ECT32" s="17"/>
      <c r="ECU32" s="17"/>
      <c r="ECV32" s="17"/>
      <c r="ECW32" s="17"/>
      <c r="ECX32" s="17"/>
      <c r="ECY32" s="17"/>
      <c r="ECZ32" s="17"/>
      <c r="EDA32" s="17"/>
      <c r="EDB32" s="17"/>
      <c r="EDC32" s="17"/>
      <c r="EDD32" s="17"/>
      <c r="EDE32" s="17"/>
      <c r="EDF32" s="17"/>
      <c r="EDG32" s="17"/>
      <c r="EDH32" s="17"/>
      <c r="EDI32" s="17"/>
      <c r="EDJ32" s="17"/>
      <c r="EDK32" s="17"/>
      <c r="EDL32" s="17"/>
      <c r="EDM32" s="17"/>
      <c r="EDN32" s="17"/>
      <c r="EDO32" s="17"/>
      <c r="EDP32" s="17"/>
      <c r="EDQ32" s="17"/>
      <c r="EDR32" s="17"/>
      <c r="EDS32" s="17"/>
      <c r="EDT32" s="17"/>
      <c r="EDU32" s="17"/>
      <c r="EDV32" s="17"/>
      <c r="EDW32" s="17"/>
      <c r="EDX32" s="17"/>
      <c r="EDY32" s="17"/>
      <c r="EDZ32" s="17"/>
      <c r="EEA32" s="17"/>
      <c r="EEB32" s="17"/>
      <c r="EEC32" s="17"/>
      <c r="EED32" s="17"/>
      <c r="EEE32" s="17"/>
      <c r="EEF32" s="17"/>
      <c r="EEG32" s="17"/>
      <c r="EEH32" s="17"/>
      <c r="EEI32" s="17"/>
      <c r="EEJ32" s="17"/>
      <c r="EEK32" s="17"/>
      <c r="EEL32" s="17"/>
      <c r="EEM32" s="17"/>
      <c r="EEN32" s="17"/>
      <c r="EEO32" s="17"/>
      <c r="EEP32" s="17"/>
      <c r="EEQ32" s="17"/>
      <c r="EER32" s="17"/>
      <c r="EES32" s="17"/>
      <c r="EET32" s="17"/>
      <c r="EEU32" s="17"/>
      <c r="EEV32" s="17"/>
      <c r="EEW32" s="17"/>
      <c r="EEX32" s="17"/>
      <c r="EEY32" s="17"/>
      <c r="EEZ32" s="17"/>
      <c r="EFA32" s="17"/>
      <c r="EFB32" s="17"/>
      <c r="EFC32" s="17"/>
      <c r="EFD32" s="17"/>
      <c r="EFE32" s="17"/>
      <c r="EFF32" s="17"/>
      <c r="EFG32" s="17"/>
      <c r="EFH32" s="17"/>
      <c r="EFI32" s="17"/>
      <c r="EFJ32" s="17"/>
      <c r="EFK32" s="17"/>
      <c r="EFL32" s="17"/>
      <c r="EFM32" s="17"/>
      <c r="EFN32" s="17"/>
      <c r="EFO32" s="17"/>
      <c r="EFP32" s="17"/>
      <c r="EFQ32" s="17"/>
      <c r="EFR32" s="17"/>
      <c r="EFS32" s="17"/>
      <c r="EFT32" s="17"/>
      <c r="EFU32" s="17"/>
      <c r="EFV32" s="17"/>
      <c r="EFW32" s="17"/>
      <c r="EFX32" s="17"/>
      <c r="EFY32" s="17"/>
      <c r="EFZ32" s="17"/>
      <c r="EGA32" s="17"/>
      <c r="EGB32" s="17"/>
      <c r="EGC32" s="17"/>
      <c r="EGD32" s="17"/>
      <c r="EGE32" s="17"/>
      <c r="EGF32" s="17"/>
      <c r="EGG32" s="17"/>
      <c r="EGH32" s="17"/>
      <c r="EGI32" s="17"/>
      <c r="EGJ32" s="17"/>
      <c r="EGK32" s="17"/>
      <c r="EGL32" s="17"/>
      <c r="EGM32" s="17"/>
      <c r="EGN32" s="17"/>
      <c r="EGO32" s="17"/>
      <c r="EGP32" s="17"/>
      <c r="EGQ32" s="17"/>
      <c r="EGR32" s="17"/>
      <c r="EGS32" s="17"/>
      <c r="EGT32" s="17"/>
      <c r="EGU32" s="17"/>
      <c r="EGV32" s="17"/>
      <c r="EGW32" s="17"/>
      <c r="EGX32" s="17"/>
      <c r="EGY32" s="17"/>
      <c r="EGZ32" s="17"/>
      <c r="EHA32" s="17"/>
      <c r="EHB32" s="17"/>
      <c r="EHC32" s="17"/>
      <c r="EHD32" s="17"/>
      <c r="EHE32" s="17"/>
      <c r="EHF32" s="17"/>
      <c r="EHG32" s="17"/>
      <c r="EHH32" s="17"/>
      <c r="EHI32" s="17"/>
      <c r="EHJ32" s="17"/>
      <c r="EHK32" s="17"/>
      <c r="EHL32" s="17"/>
      <c r="EHM32" s="17"/>
      <c r="EHN32" s="17"/>
      <c r="EHO32" s="17"/>
      <c r="EHP32" s="17"/>
      <c r="EHQ32" s="17"/>
      <c r="EHR32" s="17"/>
      <c r="EHS32" s="17"/>
      <c r="EHT32" s="17"/>
      <c r="EHU32" s="17"/>
      <c r="EHV32" s="17"/>
      <c r="EHW32" s="17"/>
      <c r="EHX32" s="17"/>
      <c r="EHY32" s="17"/>
      <c r="EHZ32" s="17"/>
      <c r="EIA32" s="17"/>
      <c r="EIB32" s="17"/>
      <c r="EIC32" s="17"/>
      <c r="EID32" s="17"/>
      <c r="EIE32" s="17"/>
      <c r="EIF32" s="17"/>
      <c r="EIG32" s="17"/>
      <c r="EIH32" s="17"/>
      <c r="EII32" s="17"/>
      <c r="EIJ32" s="17"/>
      <c r="EIK32" s="17"/>
      <c r="EIL32" s="17"/>
      <c r="EIM32" s="17"/>
      <c r="EIN32" s="17"/>
      <c r="EIO32" s="17"/>
      <c r="EIP32" s="17"/>
      <c r="EIQ32" s="17"/>
      <c r="EIR32" s="17"/>
      <c r="EIS32" s="17"/>
      <c r="EIT32" s="17"/>
      <c r="EIU32" s="17"/>
      <c r="EIV32" s="17"/>
      <c r="EIW32" s="17"/>
      <c r="EIX32" s="17"/>
      <c r="EIY32" s="17"/>
      <c r="EIZ32" s="17"/>
      <c r="EJA32" s="17"/>
      <c r="EJB32" s="17"/>
      <c r="EJC32" s="17"/>
      <c r="EJD32" s="17"/>
      <c r="EJE32" s="17"/>
      <c r="EJF32" s="17"/>
      <c r="EJG32" s="17"/>
      <c r="EJH32" s="17"/>
      <c r="EJI32" s="17"/>
      <c r="EJJ32" s="17"/>
      <c r="EJK32" s="17"/>
      <c r="EJL32" s="17"/>
      <c r="EJM32" s="17"/>
      <c r="EJN32" s="17"/>
      <c r="EJO32" s="17"/>
      <c r="EJP32" s="17"/>
      <c r="EJQ32" s="17"/>
      <c r="EJR32" s="17"/>
      <c r="EJS32" s="17"/>
      <c r="EJT32" s="17"/>
      <c r="EJU32" s="17"/>
      <c r="EJV32" s="17"/>
      <c r="EJW32" s="17"/>
      <c r="EJX32" s="17"/>
      <c r="EJY32" s="17"/>
      <c r="EJZ32" s="17"/>
      <c r="EKA32" s="17"/>
      <c r="EKB32" s="17"/>
      <c r="EKC32" s="17"/>
      <c r="EKD32" s="17"/>
      <c r="EKE32" s="17"/>
      <c r="EKF32" s="17"/>
      <c r="EKG32" s="17"/>
      <c r="EKH32" s="17"/>
      <c r="EKI32" s="17"/>
      <c r="EKJ32" s="17"/>
      <c r="EKK32" s="17"/>
      <c r="EKL32" s="17"/>
      <c r="EKM32" s="17"/>
      <c r="EKN32" s="17"/>
      <c r="EKO32" s="17"/>
      <c r="EKP32" s="17"/>
      <c r="EKQ32" s="17"/>
      <c r="EKR32" s="17"/>
      <c r="EKS32" s="17"/>
      <c r="EKT32" s="17"/>
      <c r="EKU32" s="17"/>
      <c r="EKV32" s="17"/>
      <c r="EKW32" s="17"/>
      <c r="EKX32" s="17"/>
      <c r="EKY32" s="17"/>
      <c r="EKZ32" s="17"/>
      <c r="ELA32" s="17"/>
      <c r="ELB32" s="17"/>
      <c r="ELC32" s="17"/>
      <c r="ELD32" s="17"/>
      <c r="ELE32" s="17"/>
      <c r="ELF32" s="17"/>
      <c r="ELG32" s="17"/>
      <c r="ELH32" s="17"/>
      <c r="ELI32" s="17"/>
      <c r="ELJ32" s="17"/>
      <c r="ELK32" s="17"/>
      <c r="ELL32" s="17"/>
      <c r="ELM32" s="17"/>
      <c r="ELN32" s="17"/>
      <c r="ELO32" s="17"/>
      <c r="ELP32" s="17"/>
      <c r="ELQ32" s="17"/>
      <c r="ELR32" s="17"/>
      <c r="ELS32" s="17"/>
      <c r="ELT32" s="17"/>
      <c r="ELU32" s="17"/>
      <c r="ELV32" s="17"/>
      <c r="ELW32" s="17"/>
      <c r="ELX32" s="17"/>
      <c r="ELY32" s="17"/>
      <c r="ELZ32" s="17"/>
      <c r="EMA32" s="17"/>
      <c r="EMB32" s="17"/>
      <c r="EMC32" s="17"/>
      <c r="EMD32" s="17"/>
      <c r="EME32" s="17"/>
      <c r="EMF32" s="17"/>
      <c r="EMG32" s="17"/>
      <c r="EMH32" s="17"/>
      <c r="EMI32" s="17"/>
      <c r="EMJ32" s="17"/>
      <c r="EMK32" s="17"/>
      <c r="EML32" s="17"/>
      <c r="EMM32" s="17"/>
      <c r="EMN32" s="17"/>
      <c r="EMO32" s="17"/>
      <c r="EMP32" s="17"/>
      <c r="EMQ32" s="17"/>
      <c r="EMR32" s="17"/>
      <c r="EMS32" s="17"/>
      <c r="EMT32" s="17"/>
      <c r="EMU32" s="17"/>
      <c r="EMV32" s="17"/>
      <c r="EMW32" s="17"/>
      <c r="EMX32" s="17"/>
      <c r="EMY32" s="17"/>
      <c r="EMZ32" s="17"/>
      <c r="ENA32" s="17"/>
      <c r="ENB32" s="17"/>
      <c r="ENC32" s="17"/>
      <c r="END32" s="17"/>
      <c r="ENE32" s="17"/>
      <c r="ENF32" s="17"/>
      <c r="ENG32" s="17"/>
      <c r="ENH32" s="17"/>
      <c r="ENI32" s="17"/>
      <c r="ENJ32" s="17"/>
      <c r="ENK32" s="17"/>
      <c r="ENL32" s="17"/>
      <c r="ENM32" s="17"/>
      <c r="ENN32" s="17"/>
      <c r="ENO32" s="17"/>
      <c r="ENP32" s="17"/>
      <c r="ENQ32" s="17"/>
      <c r="ENR32" s="17"/>
      <c r="ENS32" s="17"/>
      <c r="ENT32" s="17"/>
      <c r="ENU32" s="17"/>
      <c r="ENV32" s="17"/>
      <c r="ENW32" s="17"/>
      <c r="ENX32" s="17"/>
      <c r="ENY32" s="17"/>
      <c r="ENZ32" s="17"/>
      <c r="EOA32" s="17"/>
      <c r="EOB32" s="17"/>
      <c r="EOC32" s="17"/>
      <c r="EOD32" s="17"/>
      <c r="EOE32" s="17"/>
      <c r="EOF32" s="17"/>
      <c r="EOG32" s="17"/>
      <c r="EOH32" s="17"/>
      <c r="EOI32" s="17"/>
      <c r="EOJ32" s="17"/>
      <c r="EOK32" s="17"/>
      <c r="EOL32" s="17"/>
      <c r="EOM32" s="17"/>
      <c r="EON32" s="17"/>
      <c r="EOO32" s="17"/>
      <c r="EOP32" s="17"/>
      <c r="EOQ32" s="17"/>
      <c r="EOR32" s="17"/>
      <c r="EOS32" s="17"/>
      <c r="EOT32" s="17"/>
      <c r="EOU32" s="17"/>
      <c r="EOV32" s="17"/>
      <c r="EOW32" s="17"/>
      <c r="EOX32" s="17"/>
      <c r="EOY32" s="17"/>
      <c r="EOZ32" s="17"/>
      <c r="EPA32" s="17"/>
      <c r="EPB32" s="17"/>
      <c r="EPC32" s="17"/>
      <c r="EPD32" s="17"/>
      <c r="EPE32" s="17"/>
      <c r="EPF32" s="17"/>
      <c r="EPG32" s="17"/>
      <c r="EPH32" s="17"/>
      <c r="EPI32" s="17"/>
      <c r="EPJ32" s="17"/>
      <c r="EPK32" s="17"/>
      <c r="EPL32" s="17"/>
      <c r="EPM32" s="17"/>
      <c r="EPN32" s="17"/>
      <c r="EPO32" s="17"/>
      <c r="EPP32" s="17"/>
      <c r="EPQ32" s="17"/>
      <c r="EPR32" s="17"/>
      <c r="EPS32" s="17"/>
      <c r="EPT32" s="17"/>
      <c r="EPU32" s="17"/>
      <c r="EPV32" s="17"/>
      <c r="EPW32" s="17"/>
      <c r="EPX32" s="17"/>
      <c r="EPY32" s="17"/>
      <c r="EPZ32" s="17"/>
      <c r="EQA32" s="17"/>
      <c r="EQB32" s="17"/>
      <c r="EQC32" s="17"/>
      <c r="EQD32" s="17"/>
      <c r="EQE32" s="17"/>
      <c r="EQF32" s="17"/>
      <c r="EQG32" s="17"/>
      <c r="EQH32" s="17"/>
      <c r="EQI32" s="17"/>
      <c r="EQJ32" s="17"/>
      <c r="EQK32" s="17"/>
      <c r="EQL32" s="17"/>
      <c r="EQM32" s="17"/>
      <c r="EQN32" s="17"/>
      <c r="EQO32" s="17"/>
      <c r="EQP32" s="17"/>
      <c r="EQQ32" s="17"/>
      <c r="EQR32" s="17"/>
      <c r="EQS32" s="17"/>
      <c r="EQT32" s="17"/>
      <c r="EQU32" s="17"/>
      <c r="EQV32" s="17"/>
      <c r="EQW32" s="17"/>
      <c r="EQX32" s="17"/>
      <c r="EQY32" s="17"/>
      <c r="EQZ32" s="17"/>
      <c r="ERA32" s="17"/>
      <c r="ERB32" s="17"/>
      <c r="ERC32" s="17"/>
      <c r="ERD32" s="17"/>
      <c r="ERE32" s="17"/>
      <c r="ERF32" s="17"/>
      <c r="ERG32" s="17"/>
      <c r="ERH32" s="17"/>
      <c r="ERI32" s="17"/>
      <c r="ERJ32" s="17"/>
      <c r="ERK32" s="17"/>
      <c r="ERL32" s="17"/>
      <c r="ERM32" s="17"/>
      <c r="ERN32" s="17"/>
      <c r="ERO32" s="17"/>
      <c r="ERP32" s="17"/>
      <c r="ERQ32" s="17"/>
      <c r="ERR32" s="17"/>
      <c r="ERS32" s="17"/>
      <c r="ERT32" s="17"/>
      <c r="ERU32" s="17"/>
      <c r="ERV32" s="17"/>
      <c r="ERW32" s="17"/>
      <c r="ERX32" s="17"/>
      <c r="ERY32" s="17"/>
      <c r="ERZ32" s="17"/>
      <c r="ESA32" s="17"/>
      <c r="ESB32" s="17"/>
      <c r="ESC32" s="17"/>
      <c r="ESD32" s="17"/>
      <c r="ESE32" s="17"/>
      <c r="ESF32" s="17"/>
      <c r="ESG32" s="17"/>
      <c r="ESH32" s="17"/>
      <c r="ESI32" s="17"/>
      <c r="ESJ32" s="17"/>
      <c r="ESK32" s="17"/>
      <c r="ESL32" s="17"/>
      <c r="ESM32" s="17"/>
      <c r="ESN32" s="17"/>
      <c r="ESO32" s="17"/>
      <c r="ESP32" s="17"/>
      <c r="ESQ32" s="17"/>
      <c r="ESR32" s="17"/>
      <c r="ESS32" s="17"/>
      <c r="EST32" s="17"/>
      <c r="ESU32" s="17"/>
      <c r="ESV32" s="17"/>
      <c r="ESW32" s="17"/>
      <c r="ESX32" s="17"/>
      <c r="ESY32" s="17"/>
      <c r="ESZ32" s="17"/>
      <c r="ETA32" s="17"/>
      <c r="ETB32" s="17"/>
      <c r="ETC32" s="17"/>
      <c r="ETD32" s="17"/>
      <c r="ETE32" s="17"/>
      <c r="ETF32" s="17"/>
      <c r="ETG32" s="17"/>
      <c r="ETH32" s="17"/>
      <c r="ETI32" s="17"/>
      <c r="ETJ32" s="17"/>
      <c r="ETK32" s="17"/>
      <c r="ETL32" s="17"/>
      <c r="ETM32" s="17"/>
      <c r="ETN32" s="17"/>
      <c r="ETO32" s="17"/>
      <c r="ETP32" s="17"/>
      <c r="ETQ32" s="17"/>
      <c r="ETR32" s="17"/>
      <c r="ETS32" s="17"/>
      <c r="ETT32" s="17"/>
      <c r="ETU32" s="17"/>
      <c r="ETV32" s="17"/>
      <c r="ETW32" s="17"/>
      <c r="ETX32" s="17"/>
      <c r="ETY32" s="17"/>
      <c r="ETZ32" s="17"/>
      <c r="EUA32" s="17"/>
      <c r="EUB32" s="17"/>
      <c r="EUC32" s="17"/>
      <c r="EUD32" s="17"/>
      <c r="EUE32" s="17"/>
      <c r="EUF32" s="17"/>
      <c r="EUG32" s="17"/>
      <c r="EUH32" s="17"/>
      <c r="EUI32" s="17"/>
      <c r="EUJ32" s="17"/>
      <c r="EUK32" s="17"/>
      <c r="EUL32" s="17"/>
      <c r="EUM32" s="17"/>
      <c r="EUN32" s="17"/>
      <c r="EUO32" s="17"/>
      <c r="EUP32" s="17"/>
      <c r="EUQ32" s="17"/>
      <c r="EUR32" s="17"/>
      <c r="EUS32" s="17"/>
      <c r="EUT32" s="17"/>
      <c r="EUU32" s="17"/>
      <c r="EUV32" s="17"/>
      <c r="EUW32" s="17"/>
      <c r="EUX32" s="17"/>
      <c r="EUY32" s="17"/>
      <c r="EUZ32" s="17"/>
      <c r="EVA32" s="17"/>
      <c r="EVB32" s="17"/>
      <c r="EVC32" s="17"/>
      <c r="EVD32" s="17"/>
      <c r="EVE32" s="17"/>
      <c r="EVF32" s="17"/>
      <c r="EVG32" s="17"/>
      <c r="EVH32" s="17"/>
      <c r="EVI32" s="17"/>
      <c r="EVJ32" s="17"/>
      <c r="EVK32" s="17"/>
      <c r="EVL32" s="17"/>
      <c r="EVM32" s="17"/>
      <c r="EVN32" s="17"/>
      <c r="EVO32" s="17"/>
      <c r="EVP32" s="17"/>
      <c r="EVQ32" s="17"/>
      <c r="EVR32" s="17"/>
      <c r="EVS32" s="17"/>
      <c r="EVT32" s="17"/>
      <c r="EVU32" s="17"/>
      <c r="EVV32" s="17"/>
      <c r="EVW32" s="17"/>
      <c r="EVX32" s="17"/>
      <c r="EVY32" s="17"/>
      <c r="EVZ32" s="17"/>
      <c r="EWA32" s="17"/>
      <c r="EWB32" s="17"/>
      <c r="EWC32" s="17"/>
      <c r="EWD32" s="17"/>
      <c r="EWE32" s="17"/>
      <c r="EWF32" s="17"/>
      <c r="EWG32" s="17"/>
      <c r="EWH32" s="17"/>
      <c r="EWI32" s="17"/>
      <c r="EWJ32" s="17"/>
      <c r="EWK32" s="17"/>
      <c r="EWL32" s="17"/>
      <c r="EWM32" s="17"/>
      <c r="EWN32" s="17"/>
      <c r="EWO32" s="17"/>
      <c r="EWP32" s="17"/>
      <c r="EWQ32" s="17"/>
      <c r="EWR32" s="17"/>
      <c r="EWS32" s="17"/>
      <c r="EWT32" s="17"/>
      <c r="EWU32" s="17"/>
      <c r="EWV32" s="17"/>
      <c r="EWW32" s="17"/>
      <c r="EWX32" s="17"/>
      <c r="EWY32" s="17"/>
      <c r="EWZ32" s="17"/>
      <c r="EXA32" s="17"/>
      <c r="EXB32" s="17"/>
      <c r="EXC32" s="17"/>
      <c r="EXD32" s="17"/>
      <c r="EXE32" s="17"/>
      <c r="EXF32" s="17"/>
      <c r="EXG32" s="17"/>
      <c r="EXH32" s="17"/>
      <c r="EXI32" s="17"/>
      <c r="EXJ32" s="17"/>
      <c r="EXK32" s="17"/>
      <c r="EXL32" s="17"/>
      <c r="EXM32" s="17"/>
      <c r="EXN32" s="17"/>
      <c r="EXO32" s="17"/>
      <c r="EXP32" s="17"/>
      <c r="EXQ32" s="17"/>
      <c r="EXR32" s="17"/>
      <c r="EXS32" s="17"/>
      <c r="EXT32" s="17"/>
      <c r="EXU32" s="17"/>
      <c r="EXV32" s="17"/>
      <c r="EXW32" s="17"/>
      <c r="EXX32" s="17"/>
      <c r="EXY32" s="17"/>
      <c r="EXZ32" s="17"/>
      <c r="EYA32" s="17"/>
      <c r="EYB32" s="17"/>
      <c r="EYC32" s="17"/>
      <c r="EYD32" s="17"/>
      <c r="EYE32" s="17"/>
      <c r="EYF32" s="17"/>
      <c r="EYG32" s="17"/>
      <c r="EYH32" s="17"/>
      <c r="EYI32" s="17"/>
      <c r="EYJ32" s="17"/>
      <c r="EYK32" s="17"/>
      <c r="EYL32" s="17"/>
      <c r="EYM32" s="17"/>
      <c r="EYN32" s="17"/>
      <c r="EYO32" s="17"/>
      <c r="EYP32" s="17"/>
      <c r="EYQ32" s="17"/>
      <c r="EYR32" s="17"/>
      <c r="EYS32" s="17"/>
      <c r="EYT32" s="17"/>
      <c r="EYU32" s="17"/>
      <c r="EYV32" s="17"/>
      <c r="EYW32" s="17"/>
      <c r="EYX32" s="17"/>
      <c r="EYY32" s="17"/>
      <c r="EYZ32" s="17"/>
      <c r="EZA32" s="17"/>
      <c r="EZB32" s="17"/>
      <c r="EZC32" s="17"/>
      <c r="EZD32" s="17"/>
      <c r="EZE32" s="17"/>
      <c r="EZF32" s="17"/>
      <c r="EZG32" s="17"/>
      <c r="EZH32" s="17"/>
      <c r="EZI32" s="17"/>
      <c r="EZJ32" s="17"/>
      <c r="EZK32" s="17"/>
      <c r="EZL32" s="17"/>
      <c r="EZM32" s="17"/>
      <c r="EZN32" s="17"/>
      <c r="EZO32" s="17"/>
      <c r="EZP32" s="17"/>
      <c r="EZQ32" s="17"/>
      <c r="EZR32" s="17"/>
      <c r="EZS32" s="17"/>
      <c r="EZT32" s="17"/>
      <c r="EZU32" s="17"/>
      <c r="EZV32" s="17"/>
      <c r="EZW32" s="17"/>
      <c r="EZX32" s="17"/>
      <c r="EZY32" s="17"/>
      <c r="EZZ32" s="17"/>
      <c r="FAA32" s="17"/>
      <c r="FAB32" s="17"/>
      <c r="FAC32" s="17"/>
      <c r="FAD32" s="17"/>
      <c r="FAE32" s="17"/>
      <c r="FAF32" s="17"/>
      <c r="FAG32" s="17"/>
      <c r="FAH32" s="17"/>
      <c r="FAI32" s="17"/>
      <c r="FAJ32" s="17"/>
      <c r="FAK32" s="17"/>
      <c r="FAL32" s="17"/>
      <c r="FAM32" s="17"/>
      <c r="FAN32" s="17"/>
      <c r="FAO32" s="17"/>
      <c r="FAP32" s="17"/>
      <c r="FAQ32" s="17"/>
      <c r="FAR32" s="17"/>
      <c r="FAS32" s="17"/>
      <c r="FAT32" s="17"/>
      <c r="FAU32" s="17"/>
      <c r="FAV32" s="17"/>
      <c r="FAW32" s="17"/>
      <c r="FAX32" s="17"/>
      <c r="FAY32" s="17"/>
      <c r="FAZ32" s="17"/>
      <c r="FBA32" s="17"/>
      <c r="FBB32" s="17"/>
      <c r="FBC32" s="17"/>
      <c r="FBD32" s="17"/>
      <c r="FBE32" s="17"/>
      <c r="FBF32" s="17"/>
      <c r="FBG32" s="17"/>
      <c r="FBH32" s="17"/>
      <c r="FBI32" s="17"/>
      <c r="FBJ32" s="17"/>
      <c r="FBK32" s="17"/>
      <c r="FBL32" s="17"/>
      <c r="FBM32" s="17"/>
      <c r="FBN32" s="17"/>
      <c r="FBO32" s="17"/>
      <c r="FBP32" s="17"/>
      <c r="FBQ32" s="17"/>
      <c r="FBR32" s="17"/>
      <c r="FBS32" s="17"/>
      <c r="FBT32" s="17"/>
      <c r="FBU32" s="17"/>
      <c r="FBV32" s="17"/>
      <c r="FBW32" s="17"/>
      <c r="FBX32" s="17"/>
      <c r="FBY32" s="17"/>
      <c r="FBZ32" s="17"/>
      <c r="FCA32" s="17"/>
      <c r="FCB32" s="17"/>
      <c r="FCC32" s="17"/>
      <c r="FCD32" s="17"/>
      <c r="FCE32" s="17"/>
      <c r="FCF32" s="17"/>
      <c r="FCG32" s="17"/>
      <c r="FCH32" s="17"/>
      <c r="FCI32" s="17"/>
      <c r="FCJ32" s="17"/>
      <c r="FCK32" s="17"/>
      <c r="FCL32" s="17"/>
      <c r="FCM32" s="17"/>
      <c r="FCN32" s="17"/>
      <c r="FCO32" s="17"/>
      <c r="FCP32" s="17"/>
      <c r="FCQ32" s="17"/>
      <c r="FCR32" s="17"/>
      <c r="FCS32" s="17"/>
      <c r="FCT32" s="17"/>
      <c r="FCU32" s="17"/>
      <c r="FCV32" s="17"/>
      <c r="FCW32" s="17"/>
      <c r="FCX32" s="17"/>
      <c r="FCY32" s="17"/>
      <c r="FCZ32" s="17"/>
      <c r="FDA32" s="17"/>
      <c r="FDB32" s="17"/>
      <c r="FDC32" s="17"/>
      <c r="FDD32" s="17"/>
      <c r="FDE32" s="17"/>
      <c r="FDF32" s="17"/>
      <c r="FDG32" s="17"/>
      <c r="FDH32" s="17"/>
      <c r="FDI32" s="17"/>
      <c r="FDJ32" s="17"/>
      <c r="FDK32" s="17"/>
      <c r="FDL32" s="17"/>
      <c r="FDM32" s="17"/>
      <c r="FDN32" s="17"/>
      <c r="FDO32" s="17"/>
      <c r="FDP32" s="17"/>
      <c r="FDQ32" s="17"/>
      <c r="FDR32" s="17"/>
      <c r="FDS32" s="17"/>
      <c r="FDT32" s="17"/>
      <c r="FDU32" s="17"/>
      <c r="FDV32" s="17"/>
      <c r="FDW32" s="17"/>
      <c r="FDX32" s="17"/>
      <c r="FDY32" s="17"/>
      <c r="FDZ32" s="17"/>
      <c r="FEA32" s="17"/>
      <c r="FEB32" s="17"/>
      <c r="FEC32" s="17"/>
      <c r="FED32" s="17"/>
      <c r="FEE32" s="17"/>
      <c r="FEF32" s="17"/>
      <c r="FEG32" s="17"/>
      <c r="FEH32" s="17"/>
      <c r="FEI32" s="17"/>
      <c r="FEJ32" s="17"/>
      <c r="FEK32" s="17"/>
      <c r="FEL32" s="17"/>
      <c r="FEM32" s="17"/>
      <c r="FEN32" s="17"/>
      <c r="FEO32" s="17"/>
      <c r="FEP32" s="17"/>
      <c r="FEQ32" s="17"/>
      <c r="FER32" s="17"/>
      <c r="FES32" s="17"/>
      <c r="FET32" s="17"/>
      <c r="FEU32" s="17"/>
      <c r="FEV32" s="17"/>
      <c r="FEW32" s="17"/>
      <c r="FEX32" s="17"/>
      <c r="FEY32" s="17"/>
      <c r="FEZ32" s="17"/>
      <c r="FFA32" s="17"/>
      <c r="FFB32" s="17"/>
      <c r="FFC32" s="17"/>
      <c r="FFD32" s="17"/>
      <c r="FFE32" s="17"/>
      <c r="FFF32" s="17"/>
      <c r="FFG32" s="17"/>
      <c r="FFH32" s="17"/>
      <c r="FFI32" s="17"/>
      <c r="FFJ32" s="17"/>
      <c r="FFK32" s="17"/>
      <c r="FFL32" s="17"/>
      <c r="FFM32" s="17"/>
      <c r="FFN32" s="17"/>
      <c r="FFO32" s="17"/>
      <c r="FFP32" s="17"/>
      <c r="FFQ32" s="17"/>
      <c r="FFR32" s="17"/>
      <c r="FFS32" s="17"/>
      <c r="FFT32" s="17"/>
      <c r="FFU32" s="17"/>
      <c r="FFV32" s="17"/>
      <c r="FFW32" s="17"/>
      <c r="FFX32" s="17"/>
      <c r="FFY32" s="17"/>
      <c r="FFZ32" s="17"/>
      <c r="FGA32" s="17"/>
      <c r="FGB32" s="17"/>
      <c r="FGC32" s="17"/>
      <c r="FGD32" s="17"/>
      <c r="FGE32" s="17"/>
      <c r="FGF32" s="17"/>
      <c r="FGG32" s="17"/>
      <c r="FGH32" s="17"/>
      <c r="FGI32" s="17"/>
      <c r="FGJ32" s="17"/>
      <c r="FGK32" s="17"/>
      <c r="FGL32" s="17"/>
      <c r="FGM32" s="17"/>
      <c r="FGN32" s="17"/>
      <c r="FGO32" s="17"/>
      <c r="FGP32" s="17"/>
      <c r="FGQ32" s="17"/>
      <c r="FGR32" s="17"/>
      <c r="FGS32" s="17"/>
      <c r="FGT32" s="17"/>
      <c r="FGU32" s="17"/>
      <c r="FGV32" s="17"/>
      <c r="FGW32" s="17"/>
      <c r="FGX32" s="17"/>
      <c r="FGY32" s="17"/>
      <c r="FGZ32" s="17"/>
      <c r="FHA32" s="17"/>
      <c r="FHB32" s="17"/>
      <c r="FHC32" s="17"/>
      <c r="FHD32" s="17"/>
      <c r="FHE32" s="17"/>
      <c r="FHF32" s="17"/>
      <c r="FHG32" s="17"/>
      <c r="FHH32" s="17"/>
      <c r="FHI32" s="17"/>
      <c r="FHJ32" s="17"/>
      <c r="FHK32" s="17"/>
      <c r="FHL32" s="17"/>
      <c r="FHM32" s="17"/>
      <c r="FHN32" s="17"/>
      <c r="FHO32" s="17"/>
      <c r="FHP32" s="17"/>
      <c r="FHQ32" s="17"/>
      <c r="FHR32" s="17"/>
      <c r="FHS32" s="17"/>
      <c r="FHT32" s="17"/>
      <c r="FHU32" s="17"/>
      <c r="FHV32" s="17"/>
      <c r="FHW32" s="17"/>
      <c r="FHX32" s="17"/>
      <c r="FHY32" s="17"/>
      <c r="FHZ32" s="17"/>
      <c r="FIA32" s="17"/>
      <c r="FIB32" s="17"/>
      <c r="FIC32" s="17"/>
      <c r="FID32" s="17"/>
      <c r="FIE32" s="17"/>
      <c r="FIF32" s="17"/>
      <c r="FIG32" s="17"/>
      <c r="FIH32" s="17"/>
      <c r="FII32" s="17"/>
      <c r="FIJ32" s="17"/>
      <c r="FIK32" s="17"/>
      <c r="FIL32" s="17"/>
      <c r="FIM32" s="17"/>
      <c r="FIN32" s="17"/>
      <c r="FIO32" s="17"/>
      <c r="FIP32" s="17"/>
      <c r="FIQ32" s="17"/>
      <c r="FIR32" s="17"/>
      <c r="FIS32" s="17"/>
      <c r="FIT32" s="17"/>
      <c r="FIU32" s="17"/>
      <c r="FIV32" s="17"/>
      <c r="FIW32" s="17"/>
      <c r="FIX32" s="17"/>
      <c r="FIY32" s="17"/>
      <c r="FIZ32" s="17"/>
      <c r="FJA32" s="17"/>
      <c r="FJB32" s="17"/>
      <c r="FJC32" s="17"/>
      <c r="FJD32" s="17"/>
      <c r="FJE32" s="17"/>
      <c r="FJF32" s="17"/>
      <c r="FJG32" s="17"/>
      <c r="FJH32" s="17"/>
      <c r="FJI32" s="17"/>
      <c r="FJJ32" s="17"/>
      <c r="FJK32" s="17"/>
      <c r="FJL32" s="17"/>
      <c r="FJM32" s="17"/>
      <c r="FJN32" s="17"/>
      <c r="FJO32" s="17"/>
      <c r="FJP32" s="17"/>
      <c r="FJQ32" s="17"/>
      <c r="FJR32" s="17"/>
      <c r="FJS32" s="17"/>
      <c r="FJT32" s="17"/>
      <c r="FJU32" s="17"/>
      <c r="FJV32" s="17"/>
      <c r="FJW32" s="17"/>
      <c r="FJX32" s="17"/>
      <c r="FJY32" s="17"/>
      <c r="FJZ32" s="17"/>
      <c r="FKA32" s="17"/>
      <c r="FKB32" s="17"/>
      <c r="FKC32" s="17"/>
      <c r="FKD32" s="17"/>
      <c r="FKE32" s="17"/>
      <c r="FKF32" s="17"/>
      <c r="FKG32" s="17"/>
      <c r="FKH32" s="17"/>
      <c r="FKI32" s="17"/>
      <c r="FKJ32" s="17"/>
      <c r="FKK32" s="17"/>
      <c r="FKL32" s="17"/>
      <c r="FKM32" s="17"/>
      <c r="FKN32" s="17"/>
      <c r="FKO32" s="17"/>
      <c r="FKP32" s="17"/>
      <c r="FKQ32" s="17"/>
      <c r="FKR32" s="17"/>
      <c r="FKS32" s="17"/>
      <c r="FKT32" s="17"/>
      <c r="FKU32" s="17"/>
      <c r="FKV32" s="17"/>
      <c r="FKW32" s="17"/>
      <c r="FKX32" s="17"/>
      <c r="FKY32" s="17"/>
      <c r="FKZ32" s="17"/>
      <c r="FLA32" s="17"/>
      <c r="FLB32" s="17"/>
      <c r="FLC32" s="17"/>
      <c r="FLD32" s="17"/>
      <c r="FLE32" s="17"/>
      <c r="FLF32" s="17"/>
      <c r="FLG32" s="17"/>
      <c r="FLH32" s="17"/>
      <c r="FLI32" s="17"/>
      <c r="FLJ32" s="17"/>
      <c r="FLK32" s="17"/>
      <c r="FLL32" s="17"/>
      <c r="FLM32" s="17"/>
      <c r="FLN32" s="17"/>
      <c r="FLO32" s="17"/>
      <c r="FLP32" s="17"/>
      <c r="FLQ32" s="17"/>
      <c r="FLR32" s="17"/>
      <c r="FLS32" s="17"/>
      <c r="FLT32" s="17"/>
      <c r="FLU32" s="17"/>
      <c r="FLV32" s="17"/>
      <c r="FLW32" s="17"/>
      <c r="FLX32" s="17"/>
      <c r="FLY32" s="17"/>
      <c r="FLZ32" s="17"/>
      <c r="FMA32" s="17"/>
      <c r="FMB32" s="17"/>
      <c r="FMC32" s="17"/>
      <c r="FMD32" s="17"/>
      <c r="FME32" s="17"/>
      <c r="FMF32" s="17"/>
      <c r="FMG32" s="17"/>
      <c r="FMH32" s="17"/>
      <c r="FMI32" s="17"/>
      <c r="FMJ32" s="17"/>
      <c r="FMK32" s="17"/>
      <c r="FML32" s="17"/>
      <c r="FMM32" s="17"/>
      <c r="FMN32" s="17"/>
      <c r="FMO32" s="17"/>
      <c r="FMP32" s="17"/>
      <c r="FMQ32" s="17"/>
      <c r="FMR32" s="17"/>
      <c r="FMS32" s="17"/>
      <c r="FMT32" s="17"/>
      <c r="FMU32" s="17"/>
      <c r="FMV32" s="17"/>
      <c r="FMW32" s="17"/>
      <c r="FMX32" s="17"/>
      <c r="FMY32" s="17"/>
      <c r="FMZ32" s="17"/>
      <c r="FNA32" s="17"/>
      <c r="FNB32" s="17"/>
      <c r="FNC32" s="17"/>
      <c r="FND32" s="17"/>
      <c r="FNE32" s="17"/>
      <c r="FNF32" s="17"/>
      <c r="FNG32" s="17"/>
      <c r="FNH32" s="17"/>
      <c r="FNI32" s="17"/>
      <c r="FNJ32" s="17"/>
      <c r="FNK32" s="17"/>
      <c r="FNL32" s="17"/>
      <c r="FNM32" s="17"/>
      <c r="FNN32" s="17"/>
      <c r="FNO32" s="17"/>
      <c r="FNP32" s="17"/>
      <c r="FNQ32" s="17"/>
      <c r="FNR32" s="17"/>
      <c r="FNS32" s="17"/>
      <c r="FNT32" s="17"/>
      <c r="FNU32" s="17"/>
      <c r="FNV32" s="17"/>
      <c r="FNW32" s="17"/>
      <c r="FNX32" s="17"/>
      <c r="FNY32" s="17"/>
      <c r="FNZ32" s="17"/>
      <c r="FOA32" s="17"/>
      <c r="FOB32" s="17"/>
      <c r="FOC32" s="17"/>
      <c r="FOD32" s="17"/>
      <c r="FOE32" s="17"/>
      <c r="FOF32" s="17"/>
      <c r="FOG32" s="17"/>
      <c r="FOH32" s="17"/>
      <c r="FOI32" s="17"/>
      <c r="FOJ32" s="17"/>
      <c r="FOK32" s="17"/>
      <c r="FOL32" s="17"/>
      <c r="FOM32" s="17"/>
      <c r="FON32" s="17"/>
      <c r="FOO32" s="17"/>
      <c r="FOP32" s="17"/>
      <c r="FOQ32" s="17"/>
      <c r="FOR32" s="17"/>
      <c r="FOS32" s="17"/>
      <c r="FOT32" s="17"/>
      <c r="FOU32" s="17"/>
      <c r="FOV32" s="17"/>
      <c r="FOW32" s="17"/>
      <c r="FOX32" s="17"/>
      <c r="FOY32" s="17"/>
      <c r="FOZ32" s="17"/>
      <c r="FPA32" s="17"/>
      <c r="FPB32" s="17"/>
      <c r="FPC32" s="17"/>
      <c r="FPD32" s="17"/>
      <c r="FPE32" s="17"/>
      <c r="FPF32" s="17"/>
      <c r="FPG32" s="17"/>
      <c r="FPH32" s="17"/>
      <c r="FPI32" s="17"/>
      <c r="FPJ32" s="17"/>
      <c r="FPK32" s="17"/>
      <c r="FPL32" s="17"/>
      <c r="FPM32" s="17"/>
      <c r="FPN32" s="17"/>
      <c r="FPO32" s="17"/>
      <c r="FPP32" s="17"/>
      <c r="FPQ32" s="17"/>
      <c r="FPR32" s="17"/>
      <c r="FPS32" s="17"/>
      <c r="FPT32" s="17"/>
      <c r="FPU32" s="17"/>
      <c r="FPV32" s="17"/>
      <c r="FPW32" s="17"/>
      <c r="FPX32" s="17"/>
      <c r="FPY32" s="17"/>
      <c r="FPZ32" s="17"/>
      <c r="FQA32" s="17"/>
      <c r="FQB32" s="17"/>
      <c r="FQC32" s="17"/>
      <c r="FQD32" s="17"/>
      <c r="FQE32" s="17"/>
      <c r="FQF32" s="17"/>
      <c r="FQG32" s="17"/>
      <c r="FQH32" s="17"/>
      <c r="FQI32" s="17"/>
      <c r="FQJ32" s="17"/>
      <c r="FQK32" s="17"/>
      <c r="FQL32" s="17"/>
      <c r="FQM32" s="17"/>
      <c r="FQN32" s="17"/>
      <c r="FQO32" s="17"/>
      <c r="FQP32" s="17"/>
      <c r="FQQ32" s="17"/>
      <c r="FQR32" s="17"/>
      <c r="FQS32" s="17"/>
      <c r="FQT32" s="17"/>
      <c r="FQU32" s="17"/>
      <c r="FQV32" s="17"/>
      <c r="FQW32" s="17"/>
      <c r="FQX32" s="17"/>
      <c r="FQY32" s="17"/>
      <c r="FQZ32" s="17"/>
      <c r="FRA32" s="17"/>
      <c r="FRB32" s="17"/>
      <c r="FRC32" s="17"/>
      <c r="FRD32" s="17"/>
      <c r="FRE32" s="17"/>
      <c r="FRF32" s="17"/>
      <c r="FRG32" s="17"/>
      <c r="FRH32" s="17"/>
      <c r="FRI32" s="17"/>
      <c r="FRJ32" s="17"/>
      <c r="FRK32" s="17"/>
      <c r="FRL32" s="17"/>
      <c r="FRM32" s="17"/>
      <c r="FRN32" s="17"/>
      <c r="FRO32" s="17"/>
      <c r="FRP32" s="17"/>
      <c r="FRQ32" s="17"/>
      <c r="FRR32" s="17"/>
      <c r="FRS32" s="17"/>
      <c r="FRT32" s="17"/>
      <c r="FRU32" s="17"/>
      <c r="FRV32" s="17"/>
      <c r="FRW32" s="17"/>
      <c r="FRX32" s="17"/>
      <c r="FRY32" s="17"/>
      <c r="FRZ32" s="17"/>
      <c r="FSA32" s="17"/>
      <c r="FSB32" s="17"/>
      <c r="FSC32" s="17"/>
      <c r="FSD32" s="17"/>
      <c r="FSE32" s="17"/>
      <c r="FSF32" s="17"/>
      <c r="FSG32" s="17"/>
      <c r="FSH32" s="17"/>
      <c r="FSI32" s="17"/>
      <c r="FSJ32" s="17"/>
      <c r="FSK32" s="17"/>
      <c r="FSL32" s="17"/>
      <c r="FSM32" s="17"/>
      <c r="FSN32" s="17"/>
      <c r="FSO32" s="17"/>
      <c r="FSP32" s="17"/>
      <c r="FSQ32" s="17"/>
      <c r="FSR32" s="17"/>
      <c r="FSS32" s="17"/>
      <c r="FST32" s="17"/>
      <c r="FSU32" s="17"/>
      <c r="FSV32" s="17"/>
      <c r="FSW32" s="17"/>
      <c r="FSX32" s="17"/>
      <c r="FSY32" s="17"/>
      <c r="FSZ32" s="17"/>
      <c r="FTA32" s="17"/>
      <c r="FTB32" s="17"/>
      <c r="FTC32" s="17"/>
      <c r="FTD32" s="17"/>
      <c r="FTE32" s="17"/>
      <c r="FTF32" s="17"/>
      <c r="FTG32" s="17"/>
      <c r="FTH32" s="17"/>
      <c r="FTI32" s="17"/>
      <c r="FTJ32" s="17"/>
      <c r="FTK32" s="17"/>
      <c r="FTL32" s="17"/>
      <c r="FTM32" s="17"/>
      <c r="FTN32" s="17"/>
      <c r="FTO32" s="17"/>
      <c r="FTP32" s="17"/>
      <c r="FTQ32" s="17"/>
      <c r="FTR32" s="17"/>
      <c r="FTS32" s="17"/>
      <c r="FTT32" s="17"/>
      <c r="FTU32" s="17"/>
      <c r="FTV32" s="17"/>
      <c r="FTW32" s="17"/>
      <c r="FTX32" s="17"/>
      <c r="FTY32" s="17"/>
      <c r="FTZ32" s="17"/>
      <c r="FUA32" s="17"/>
      <c r="FUB32" s="17"/>
      <c r="FUC32" s="17"/>
      <c r="FUD32" s="17"/>
      <c r="FUE32" s="17"/>
      <c r="FUF32" s="17"/>
      <c r="FUG32" s="17"/>
      <c r="FUH32" s="17"/>
      <c r="FUI32" s="17"/>
      <c r="FUJ32" s="17"/>
      <c r="FUK32" s="17"/>
      <c r="FUL32" s="17"/>
      <c r="FUM32" s="17"/>
      <c r="FUN32" s="17"/>
      <c r="FUO32" s="17"/>
      <c r="FUP32" s="17"/>
      <c r="FUQ32" s="17"/>
      <c r="FUR32" s="17"/>
      <c r="FUS32" s="17"/>
      <c r="FUT32" s="17"/>
      <c r="FUU32" s="17"/>
      <c r="FUV32" s="17"/>
      <c r="FUW32" s="17"/>
      <c r="FUX32" s="17"/>
      <c r="FUY32" s="17"/>
      <c r="FUZ32" s="17"/>
      <c r="FVA32" s="17"/>
      <c r="FVB32" s="17"/>
      <c r="FVC32" s="17"/>
      <c r="FVD32" s="17"/>
      <c r="FVE32" s="17"/>
      <c r="FVF32" s="17"/>
      <c r="FVG32" s="17"/>
      <c r="FVH32" s="17"/>
      <c r="FVI32" s="17"/>
      <c r="FVJ32" s="17"/>
      <c r="FVK32" s="17"/>
      <c r="FVL32" s="17"/>
      <c r="FVM32" s="17"/>
      <c r="FVN32" s="17"/>
      <c r="FVO32" s="17"/>
      <c r="FVP32" s="17"/>
      <c r="FVQ32" s="17"/>
      <c r="FVR32" s="17"/>
      <c r="FVS32" s="17"/>
      <c r="FVT32" s="17"/>
      <c r="FVU32" s="17"/>
      <c r="FVV32" s="17"/>
      <c r="FVW32" s="17"/>
      <c r="FVX32" s="17"/>
      <c r="FVY32" s="17"/>
      <c r="FVZ32" s="17"/>
      <c r="FWA32" s="17"/>
      <c r="FWB32" s="17"/>
      <c r="FWC32" s="17"/>
      <c r="FWD32" s="17"/>
      <c r="FWE32" s="17"/>
      <c r="FWF32" s="17"/>
      <c r="FWG32" s="17"/>
      <c r="FWH32" s="17"/>
      <c r="FWI32" s="17"/>
      <c r="FWJ32" s="17"/>
      <c r="FWK32" s="17"/>
      <c r="FWL32" s="17"/>
      <c r="FWM32" s="17"/>
      <c r="FWN32" s="17"/>
      <c r="FWO32" s="17"/>
      <c r="FWP32" s="17"/>
      <c r="FWQ32" s="17"/>
      <c r="FWR32" s="17"/>
      <c r="FWS32" s="17"/>
      <c r="FWT32" s="17"/>
      <c r="FWU32" s="17"/>
      <c r="FWV32" s="17"/>
      <c r="FWW32" s="17"/>
      <c r="FWX32" s="17"/>
      <c r="FWY32" s="17"/>
      <c r="FWZ32" s="17"/>
      <c r="FXA32" s="17"/>
      <c r="FXB32" s="17"/>
      <c r="FXC32" s="17"/>
      <c r="FXD32" s="17"/>
      <c r="FXE32" s="17"/>
      <c r="FXF32" s="17"/>
      <c r="FXG32" s="17"/>
      <c r="FXH32" s="17"/>
      <c r="FXI32" s="17"/>
      <c r="FXJ32" s="17"/>
      <c r="FXK32" s="17"/>
      <c r="FXL32" s="17"/>
      <c r="FXM32" s="17"/>
      <c r="FXN32" s="17"/>
      <c r="FXO32" s="17"/>
      <c r="FXP32" s="17"/>
      <c r="FXQ32" s="17"/>
      <c r="FXR32" s="17"/>
      <c r="FXS32" s="17"/>
      <c r="FXT32" s="17"/>
      <c r="FXU32" s="17"/>
      <c r="FXV32" s="17"/>
      <c r="FXW32" s="17"/>
      <c r="FXX32" s="17"/>
      <c r="FXY32" s="17"/>
      <c r="FXZ32" s="17"/>
      <c r="FYA32" s="17"/>
      <c r="FYB32" s="17"/>
      <c r="FYC32" s="17"/>
      <c r="FYD32" s="17"/>
      <c r="FYE32" s="17"/>
      <c r="FYF32" s="17"/>
      <c r="FYG32" s="17"/>
      <c r="FYH32" s="17"/>
      <c r="FYI32" s="17"/>
      <c r="FYJ32" s="17"/>
      <c r="FYK32" s="17"/>
      <c r="FYL32" s="17"/>
      <c r="FYM32" s="17"/>
      <c r="FYN32" s="17"/>
      <c r="FYO32" s="17"/>
      <c r="FYP32" s="17"/>
      <c r="FYQ32" s="17"/>
      <c r="FYR32" s="17"/>
      <c r="FYS32" s="17"/>
      <c r="FYT32" s="17"/>
      <c r="FYU32" s="17"/>
      <c r="FYV32" s="17"/>
      <c r="FYW32" s="17"/>
      <c r="FYX32" s="17"/>
      <c r="FYY32" s="17"/>
      <c r="FYZ32" s="17"/>
      <c r="FZA32" s="17"/>
      <c r="FZB32" s="17"/>
      <c r="FZC32" s="17"/>
      <c r="FZD32" s="17"/>
      <c r="FZE32" s="17"/>
      <c r="FZF32" s="17"/>
      <c r="FZG32" s="17"/>
      <c r="FZH32" s="17"/>
      <c r="FZI32" s="17"/>
      <c r="FZJ32" s="17"/>
      <c r="FZK32" s="17"/>
      <c r="FZL32" s="17"/>
      <c r="FZM32" s="17"/>
      <c r="FZN32" s="17"/>
      <c r="FZO32" s="17"/>
      <c r="FZP32" s="17"/>
      <c r="FZQ32" s="17"/>
      <c r="FZR32" s="17"/>
      <c r="FZS32" s="17"/>
      <c r="FZT32" s="17"/>
      <c r="FZU32" s="17"/>
      <c r="FZV32" s="17"/>
      <c r="FZW32" s="17"/>
      <c r="FZX32" s="17"/>
      <c r="FZY32" s="17"/>
      <c r="FZZ32" s="17"/>
      <c r="GAA32" s="17"/>
      <c r="GAB32" s="17"/>
      <c r="GAC32" s="17"/>
      <c r="GAD32" s="17"/>
      <c r="GAE32" s="17"/>
      <c r="GAF32" s="17"/>
      <c r="GAG32" s="17"/>
      <c r="GAH32" s="17"/>
      <c r="GAI32" s="17"/>
      <c r="GAJ32" s="17"/>
      <c r="GAK32" s="17"/>
      <c r="GAL32" s="17"/>
      <c r="GAM32" s="17"/>
      <c r="GAN32" s="17"/>
      <c r="GAO32" s="17"/>
      <c r="GAP32" s="17"/>
      <c r="GAQ32" s="17"/>
      <c r="GAR32" s="17"/>
      <c r="GAS32" s="17"/>
      <c r="GAT32" s="17"/>
      <c r="GAU32" s="17"/>
      <c r="GAV32" s="17"/>
      <c r="GAW32" s="17"/>
      <c r="GAX32" s="17"/>
      <c r="GAY32" s="17"/>
      <c r="GAZ32" s="17"/>
      <c r="GBA32" s="17"/>
      <c r="GBB32" s="17"/>
      <c r="GBC32" s="17"/>
      <c r="GBD32" s="17"/>
      <c r="GBE32" s="17"/>
      <c r="GBF32" s="17"/>
      <c r="GBG32" s="17"/>
      <c r="GBH32" s="17"/>
      <c r="GBI32" s="17"/>
      <c r="GBJ32" s="17"/>
      <c r="GBK32" s="17"/>
      <c r="GBL32" s="17"/>
      <c r="GBM32" s="17"/>
      <c r="GBN32" s="17"/>
      <c r="GBO32" s="17"/>
      <c r="GBP32" s="17"/>
      <c r="GBQ32" s="17"/>
      <c r="GBR32" s="17"/>
      <c r="GBS32" s="17"/>
      <c r="GBT32" s="17"/>
      <c r="GBU32" s="17"/>
      <c r="GBV32" s="17"/>
      <c r="GBW32" s="17"/>
      <c r="GBX32" s="17"/>
      <c r="GBY32" s="17"/>
      <c r="GBZ32" s="17"/>
      <c r="GCA32" s="17"/>
      <c r="GCB32" s="17"/>
      <c r="GCC32" s="17"/>
      <c r="GCD32" s="17"/>
      <c r="GCE32" s="17"/>
      <c r="GCF32" s="17"/>
      <c r="GCG32" s="17"/>
      <c r="GCH32" s="17"/>
      <c r="GCI32" s="17"/>
      <c r="GCJ32" s="17"/>
      <c r="GCK32" s="17"/>
      <c r="GCL32" s="17"/>
      <c r="GCM32" s="17"/>
      <c r="GCN32" s="17"/>
      <c r="GCO32" s="17"/>
      <c r="GCP32" s="17"/>
      <c r="GCQ32" s="17"/>
      <c r="GCR32" s="17"/>
      <c r="GCS32" s="17"/>
      <c r="GCT32" s="17"/>
      <c r="GCU32" s="17"/>
      <c r="GCV32" s="17"/>
      <c r="GCW32" s="17"/>
      <c r="GCX32" s="17"/>
      <c r="GCY32" s="17"/>
      <c r="GCZ32" s="17"/>
      <c r="GDA32" s="17"/>
      <c r="GDB32" s="17"/>
      <c r="GDC32" s="17"/>
      <c r="GDD32" s="17"/>
      <c r="GDE32" s="17"/>
      <c r="GDF32" s="17"/>
      <c r="GDG32" s="17"/>
      <c r="GDH32" s="17"/>
      <c r="GDI32" s="17"/>
      <c r="GDJ32" s="17"/>
      <c r="GDK32" s="17"/>
      <c r="GDL32" s="17"/>
      <c r="GDM32" s="17"/>
      <c r="GDN32" s="17"/>
      <c r="GDO32" s="17"/>
      <c r="GDP32" s="17"/>
      <c r="GDQ32" s="17"/>
      <c r="GDR32" s="17"/>
      <c r="GDS32" s="17"/>
      <c r="GDT32" s="17"/>
      <c r="GDU32" s="17"/>
      <c r="GDV32" s="17"/>
      <c r="GDW32" s="17"/>
      <c r="GDX32" s="17"/>
      <c r="GDY32" s="17"/>
      <c r="GDZ32" s="17"/>
      <c r="GEA32" s="17"/>
      <c r="GEB32" s="17"/>
      <c r="GEC32" s="17"/>
      <c r="GED32" s="17"/>
      <c r="GEE32" s="17"/>
      <c r="GEF32" s="17"/>
      <c r="GEG32" s="17"/>
      <c r="GEH32" s="17"/>
      <c r="GEI32" s="17"/>
      <c r="GEJ32" s="17"/>
      <c r="GEK32" s="17"/>
      <c r="GEL32" s="17"/>
      <c r="GEM32" s="17"/>
      <c r="GEN32" s="17"/>
      <c r="GEO32" s="17"/>
      <c r="GEP32" s="17"/>
      <c r="GEQ32" s="17"/>
      <c r="GER32" s="17"/>
      <c r="GES32" s="17"/>
      <c r="GET32" s="17"/>
      <c r="GEU32" s="17"/>
      <c r="GEV32" s="17"/>
      <c r="GEW32" s="17"/>
      <c r="GEX32" s="17"/>
      <c r="GEY32" s="17"/>
      <c r="GEZ32" s="17"/>
      <c r="GFA32" s="17"/>
      <c r="GFB32" s="17"/>
      <c r="GFC32" s="17"/>
      <c r="GFD32" s="17"/>
      <c r="GFE32" s="17"/>
      <c r="GFF32" s="17"/>
      <c r="GFG32" s="17"/>
      <c r="GFH32" s="17"/>
      <c r="GFI32" s="17"/>
      <c r="GFJ32" s="17"/>
      <c r="GFK32" s="17"/>
      <c r="GFL32" s="17"/>
      <c r="GFM32" s="17"/>
      <c r="GFN32" s="17"/>
      <c r="GFO32" s="17"/>
      <c r="GFP32" s="17"/>
      <c r="GFQ32" s="17"/>
      <c r="GFR32" s="17"/>
      <c r="GFS32" s="17"/>
      <c r="GFT32" s="17"/>
      <c r="GFU32" s="17"/>
      <c r="GFV32" s="17"/>
      <c r="GFW32" s="17"/>
      <c r="GFX32" s="17"/>
      <c r="GFY32" s="17"/>
      <c r="GFZ32" s="17"/>
      <c r="GGA32" s="17"/>
      <c r="GGB32" s="17"/>
      <c r="GGC32" s="17"/>
      <c r="GGD32" s="17"/>
      <c r="GGE32" s="17"/>
      <c r="GGF32" s="17"/>
      <c r="GGG32" s="17"/>
      <c r="GGH32" s="17"/>
      <c r="GGI32" s="17"/>
      <c r="GGJ32" s="17"/>
      <c r="GGK32" s="17"/>
      <c r="GGL32" s="17"/>
      <c r="GGM32" s="17"/>
      <c r="GGN32" s="17"/>
      <c r="GGO32" s="17"/>
      <c r="GGP32" s="17"/>
      <c r="GGQ32" s="17"/>
      <c r="GGR32" s="17"/>
      <c r="GGS32" s="17"/>
      <c r="GGT32" s="17"/>
      <c r="GGU32" s="17"/>
      <c r="GGV32" s="17"/>
      <c r="GGW32" s="17"/>
      <c r="GGX32" s="17"/>
      <c r="GGY32" s="17"/>
      <c r="GGZ32" s="17"/>
      <c r="GHA32" s="17"/>
      <c r="GHB32" s="17"/>
      <c r="GHC32" s="17"/>
      <c r="GHD32" s="17"/>
      <c r="GHE32" s="17"/>
      <c r="GHF32" s="17"/>
      <c r="GHG32" s="17"/>
      <c r="GHH32" s="17"/>
      <c r="GHI32" s="17"/>
      <c r="GHJ32" s="17"/>
      <c r="GHK32" s="17"/>
      <c r="GHL32" s="17"/>
      <c r="GHM32" s="17"/>
      <c r="GHN32" s="17"/>
      <c r="GHO32" s="17"/>
      <c r="GHP32" s="17"/>
      <c r="GHQ32" s="17"/>
      <c r="GHR32" s="17"/>
      <c r="GHS32" s="17"/>
      <c r="GHT32" s="17"/>
      <c r="GHU32" s="17"/>
      <c r="GHV32" s="17"/>
      <c r="GHW32" s="17"/>
      <c r="GHX32" s="17"/>
      <c r="GHY32" s="17"/>
      <c r="GHZ32" s="17"/>
      <c r="GIA32" s="17"/>
      <c r="GIB32" s="17"/>
      <c r="GIC32" s="17"/>
      <c r="GID32" s="17"/>
      <c r="GIE32" s="17"/>
      <c r="GIF32" s="17"/>
      <c r="GIG32" s="17"/>
      <c r="GIH32" s="17"/>
      <c r="GII32" s="17"/>
      <c r="GIJ32" s="17"/>
      <c r="GIK32" s="17"/>
      <c r="GIL32" s="17"/>
      <c r="GIM32" s="17"/>
      <c r="GIN32" s="17"/>
      <c r="GIO32" s="17"/>
      <c r="GIP32" s="17"/>
      <c r="GIQ32" s="17"/>
      <c r="GIR32" s="17"/>
      <c r="GIS32" s="17"/>
      <c r="GIT32" s="17"/>
      <c r="GIU32" s="17"/>
      <c r="GIV32" s="17"/>
      <c r="GIW32" s="17"/>
      <c r="GIX32" s="17"/>
      <c r="GIY32" s="17"/>
      <c r="GIZ32" s="17"/>
      <c r="GJA32" s="17"/>
      <c r="GJB32" s="17"/>
      <c r="GJC32" s="17"/>
      <c r="GJD32" s="17"/>
      <c r="GJE32" s="17"/>
      <c r="GJF32" s="17"/>
      <c r="GJG32" s="17"/>
      <c r="GJH32" s="17"/>
      <c r="GJI32" s="17"/>
      <c r="GJJ32" s="17"/>
      <c r="GJK32" s="17"/>
      <c r="GJL32" s="17"/>
      <c r="GJM32" s="17"/>
      <c r="GJN32" s="17"/>
      <c r="GJO32" s="17"/>
      <c r="GJP32" s="17"/>
      <c r="GJQ32" s="17"/>
      <c r="GJR32" s="17"/>
      <c r="GJS32" s="17"/>
      <c r="GJT32" s="17"/>
      <c r="GJU32" s="17"/>
      <c r="GJV32" s="17"/>
      <c r="GJW32" s="17"/>
      <c r="GJX32" s="17"/>
      <c r="GJY32" s="17"/>
      <c r="GJZ32" s="17"/>
      <c r="GKA32" s="17"/>
      <c r="GKB32" s="17"/>
      <c r="GKC32" s="17"/>
      <c r="GKD32" s="17"/>
      <c r="GKE32" s="17"/>
      <c r="GKF32" s="17"/>
      <c r="GKG32" s="17"/>
      <c r="GKH32" s="17"/>
      <c r="GKI32" s="17"/>
      <c r="GKJ32" s="17"/>
      <c r="GKK32" s="17"/>
      <c r="GKL32" s="17"/>
      <c r="GKM32" s="17"/>
      <c r="GKN32" s="17"/>
      <c r="GKO32" s="17"/>
      <c r="GKP32" s="17"/>
      <c r="GKQ32" s="17"/>
      <c r="GKR32" s="17"/>
      <c r="GKS32" s="17"/>
      <c r="GKT32" s="17"/>
      <c r="GKU32" s="17"/>
      <c r="GKV32" s="17"/>
      <c r="GKW32" s="17"/>
      <c r="GKX32" s="17"/>
      <c r="GKY32" s="17"/>
      <c r="GKZ32" s="17"/>
      <c r="GLA32" s="17"/>
      <c r="GLB32" s="17"/>
      <c r="GLC32" s="17"/>
      <c r="GLD32" s="17"/>
      <c r="GLE32" s="17"/>
      <c r="GLF32" s="17"/>
      <c r="GLG32" s="17"/>
      <c r="GLH32" s="17"/>
      <c r="GLI32" s="17"/>
      <c r="GLJ32" s="17"/>
      <c r="GLK32" s="17"/>
      <c r="GLL32" s="17"/>
      <c r="GLM32" s="17"/>
      <c r="GLN32" s="17"/>
      <c r="GLO32" s="17"/>
      <c r="GLP32" s="17"/>
      <c r="GLQ32" s="17"/>
      <c r="GLR32" s="17"/>
      <c r="GLS32" s="17"/>
      <c r="GLT32" s="17"/>
      <c r="GLU32" s="17"/>
      <c r="GLV32" s="17"/>
      <c r="GLW32" s="17"/>
      <c r="GLX32" s="17"/>
      <c r="GLY32" s="17"/>
      <c r="GLZ32" s="17"/>
      <c r="GMA32" s="17"/>
      <c r="GMB32" s="17"/>
      <c r="GMC32" s="17"/>
      <c r="GMD32" s="17"/>
      <c r="GME32" s="17"/>
      <c r="GMF32" s="17"/>
      <c r="GMG32" s="17"/>
      <c r="GMH32" s="17"/>
      <c r="GMI32" s="17"/>
      <c r="GMJ32" s="17"/>
      <c r="GMK32" s="17"/>
      <c r="GML32" s="17"/>
      <c r="GMM32" s="17"/>
      <c r="GMN32" s="17"/>
      <c r="GMO32" s="17"/>
      <c r="GMP32" s="17"/>
      <c r="GMQ32" s="17"/>
      <c r="GMR32" s="17"/>
      <c r="GMS32" s="17"/>
      <c r="GMT32" s="17"/>
      <c r="GMU32" s="17"/>
      <c r="GMV32" s="17"/>
      <c r="GMW32" s="17"/>
      <c r="GMX32" s="17"/>
      <c r="GMY32" s="17"/>
      <c r="GMZ32" s="17"/>
      <c r="GNA32" s="17"/>
      <c r="GNB32" s="17"/>
      <c r="GNC32" s="17"/>
      <c r="GND32" s="17"/>
      <c r="GNE32" s="17"/>
      <c r="GNF32" s="17"/>
      <c r="GNG32" s="17"/>
      <c r="GNH32" s="17"/>
      <c r="GNI32" s="17"/>
      <c r="GNJ32" s="17"/>
      <c r="GNK32" s="17"/>
      <c r="GNL32" s="17"/>
      <c r="GNM32" s="17"/>
      <c r="GNN32" s="17"/>
      <c r="GNO32" s="17"/>
      <c r="GNP32" s="17"/>
      <c r="GNQ32" s="17"/>
      <c r="GNR32" s="17"/>
      <c r="GNS32" s="17"/>
      <c r="GNT32" s="17"/>
      <c r="GNU32" s="17"/>
      <c r="GNV32" s="17"/>
      <c r="GNW32" s="17"/>
      <c r="GNX32" s="17"/>
      <c r="GNY32" s="17"/>
      <c r="GNZ32" s="17"/>
      <c r="GOA32" s="17"/>
      <c r="GOB32" s="17"/>
      <c r="GOC32" s="17"/>
      <c r="GOD32" s="17"/>
      <c r="GOE32" s="17"/>
      <c r="GOF32" s="17"/>
      <c r="GOG32" s="17"/>
      <c r="GOH32" s="17"/>
      <c r="GOI32" s="17"/>
      <c r="GOJ32" s="17"/>
      <c r="GOK32" s="17"/>
      <c r="GOL32" s="17"/>
      <c r="GOM32" s="17"/>
      <c r="GON32" s="17"/>
      <c r="GOO32" s="17"/>
      <c r="GOP32" s="17"/>
      <c r="GOQ32" s="17"/>
      <c r="GOR32" s="17"/>
      <c r="GOS32" s="17"/>
      <c r="GOT32" s="17"/>
      <c r="GOU32" s="17"/>
      <c r="GOV32" s="17"/>
      <c r="GOW32" s="17"/>
      <c r="GOX32" s="17"/>
      <c r="GOY32" s="17"/>
      <c r="GOZ32" s="17"/>
      <c r="GPA32" s="17"/>
      <c r="GPB32" s="17"/>
      <c r="GPC32" s="17"/>
      <c r="GPD32" s="17"/>
      <c r="GPE32" s="17"/>
      <c r="GPF32" s="17"/>
      <c r="GPG32" s="17"/>
      <c r="GPH32" s="17"/>
      <c r="GPI32" s="17"/>
      <c r="GPJ32" s="17"/>
      <c r="GPK32" s="17"/>
      <c r="GPL32" s="17"/>
      <c r="GPM32" s="17"/>
      <c r="GPN32" s="17"/>
      <c r="GPO32" s="17"/>
      <c r="GPP32" s="17"/>
      <c r="GPQ32" s="17"/>
      <c r="GPR32" s="17"/>
      <c r="GPS32" s="17"/>
      <c r="GPT32" s="17"/>
      <c r="GPU32" s="17"/>
      <c r="GPV32" s="17"/>
      <c r="GPW32" s="17"/>
      <c r="GPX32" s="17"/>
      <c r="GPY32" s="17"/>
      <c r="GPZ32" s="17"/>
      <c r="GQA32" s="17"/>
      <c r="GQB32" s="17"/>
      <c r="GQC32" s="17"/>
      <c r="GQD32" s="17"/>
      <c r="GQE32" s="17"/>
      <c r="GQF32" s="17"/>
      <c r="GQG32" s="17"/>
      <c r="GQH32" s="17"/>
      <c r="GQI32" s="17"/>
      <c r="GQJ32" s="17"/>
      <c r="GQK32" s="17"/>
      <c r="GQL32" s="17"/>
      <c r="GQM32" s="17"/>
      <c r="GQN32" s="17"/>
      <c r="GQO32" s="17"/>
      <c r="GQP32" s="17"/>
      <c r="GQQ32" s="17"/>
      <c r="GQR32" s="17"/>
      <c r="GQS32" s="17"/>
      <c r="GQT32" s="17"/>
      <c r="GQU32" s="17"/>
      <c r="GQV32" s="17"/>
      <c r="GQW32" s="17"/>
      <c r="GQX32" s="17"/>
      <c r="GQY32" s="17"/>
      <c r="GQZ32" s="17"/>
      <c r="GRA32" s="17"/>
      <c r="GRB32" s="17"/>
      <c r="GRC32" s="17"/>
      <c r="GRD32" s="17"/>
      <c r="GRE32" s="17"/>
      <c r="GRF32" s="17"/>
      <c r="GRG32" s="17"/>
      <c r="GRH32" s="17"/>
      <c r="GRI32" s="17"/>
      <c r="GRJ32" s="17"/>
      <c r="GRK32" s="17"/>
      <c r="GRL32" s="17"/>
      <c r="GRM32" s="17"/>
      <c r="GRN32" s="17"/>
      <c r="GRO32" s="17"/>
      <c r="GRP32" s="17"/>
      <c r="GRQ32" s="17"/>
      <c r="GRR32" s="17"/>
      <c r="GRS32" s="17"/>
      <c r="GRT32" s="17"/>
      <c r="GRU32" s="17"/>
      <c r="GRV32" s="17"/>
      <c r="GRW32" s="17"/>
      <c r="GRX32" s="17"/>
      <c r="GRY32" s="17"/>
      <c r="GRZ32" s="17"/>
      <c r="GSA32" s="17"/>
      <c r="GSB32" s="17"/>
      <c r="GSC32" s="17"/>
      <c r="GSD32" s="17"/>
      <c r="GSE32" s="17"/>
      <c r="GSF32" s="17"/>
      <c r="GSG32" s="17"/>
      <c r="GSH32" s="17"/>
      <c r="GSI32" s="17"/>
      <c r="GSJ32" s="17"/>
      <c r="GSK32" s="17"/>
      <c r="GSL32" s="17"/>
      <c r="GSM32" s="17"/>
      <c r="GSN32" s="17"/>
      <c r="GSO32" s="17"/>
      <c r="GSP32" s="17"/>
      <c r="GSQ32" s="17"/>
      <c r="GSR32" s="17"/>
      <c r="GSS32" s="17"/>
      <c r="GST32" s="17"/>
      <c r="GSU32" s="17"/>
      <c r="GSV32" s="17"/>
      <c r="GSW32" s="17"/>
      <c r="GSX32" s="17"/>
      <c r="GSY32" s="17"/>
      <c r="GSZ32" s="17"/>
      <c r="GTA32" s="17"/>
      <c r="GTB32" s="17"/>
      <c r="GTC32" s="17"/>
      <c r="GTD32" s="17"/>
      <c r="GTE32" s="17"/>
      <c r="GTF32" s="17"/>
      <c r="GTG32" s="17"/>
      <c r="GTH32" s="17"/>
      <c r="GTI32" s="17"/>
      <c r="GTJ32" s="17"/>
      <c r="GTK32" s="17"/>
      <c r="GTL32" s="17"/>
      <c r="GTM32" s="17"/>
      <c r="GTN32" s="17"/>
      <c r="GTO32" s="17"/>
      <c r="GTP32" s="17"/>
      <c r="GTQ32" s="17"/>
      <c r="GTR32" s="17"/>
      <c r="GTS32" s="17"/>
      <c r="GTT32" s="17"/>
      <c r="GTU32" s="17"/>
      <c r="GTV32" s="17"/>
      <c r="GTW32" s="17"/>
      <c r="GTX32" s="17"/>
      <c r="GTY32" s="17"/>
      <c r="GTZ32" s="17"/>
      <c r="GUA32" s="17"/>
      <c r="GUB32" s="17"/>
      <c r="GUC32" s="17"/>
      <c r="GUD32" s="17"/>
      <c r="GUE32" s="17"/>
      <c r="GUF32" s="17"/>
      <c r="GUG32" s="17"/>
      <c r="GUH32" s="17"/>
      <c r="GUI32" s="17"/>
      <c r="GUJ32" s="17"/>
      <c r="GUK32" s="17"/>
      <c r="GUL32" s="17"/>
      <c r="GUM32" s="17"/>
      <c r="GUN32" s="17"/>
      <c r="GUO32" s="17"/>
      <c r="GUP32" s="17"/>
      <c r="GUQ32" s="17"/>
      <c r="GUR32" s="17"/>
      <c r="GUS32" s="17"/>
      <c r="GUT32" s="17"/>
      <c r="GUU32" s="17"/>
      <c r="GUV32" s="17"/>
      <c r="GUW32" s="17"/>
      <c r="GUX32" s="17"/>
      <c r="GUY32" s="17"/>
      <c r="GUZ32" s="17"/>
      <c r="GVA32" s="17"/>
      <c r="GVB32" s="17"/>
      <c r="GVC32" s="17"/>
      <c r="GVD32" s="17"/>
      <c r="GVE32" s="17"/>
      <c r="GVF32" s="17"/>
      <c r="GVG32" s="17"/>
      <c r="GVH32" s="17"/>
      <c r="GVI32" s="17"/>
      <c r="GVJ32" s="17"/>
      <c r="GVK32" s="17"/>
      <c r="GVL32" s="17"/>
      <c r="GVM32" s="17"/>
      <c r="GVN32" s="17"/>
      <c r="GVO32" s="17"/>
      <c r="GVP32" s="17"/>
      <c r="GVQ32" s="17"/>
      <c r="GVR32" s="17"/>
      <c r="GVS32" s="17"/>
      <c r="GVT32" s="17"/>
      <c r="GVU32" s="17"/>
      <c r="GVV32" s="17"/>
      <c r="GVW32" s="17"/>
      <c r="GVX32" s="17"/>
      <c r="GVY32" s="17"/>
      <c r="GVZ32" s="17"/>
      <c r="GWA32" s="17"/>
      <c r="GWB32" s="17"/>
      <c r="GWC32" s="17"/>
      <c r="GWD32" s="17"/>
      <c r="GWE32" s="17"/>
      <c r="GWF32" s="17"/>
      <c r="GWG32" s="17"/>
      <c r="GWH32" s="17"/>
      <c r="GWI32" s="17"/>
      <c r="GWJ32" s="17"/>
      <c r="GWK32" s="17"/>
      <c r="GWL32" s="17"/>
      <c r="GWM32" s="17"/>
      <c r="GWN32" s="17"/>
      <c r="GWO32" s="17"/>
      <c r="GWP32" s="17"/>
      <c r="GWQ32" s="17"/>
      <c r="GWR32" s="17"/>
      <c r="GWS32" s="17"/>
      <c r="GWT32" s="17"/>
      <c r="GWU32" s="17"/>
      <c r="GWV32" s="17"/>
      <c r="GWW32" s="17"/>
      <c r="GWX32" s="17"/>
      <c r="GWY32" s="17"/>
      <c r="GWZ32" s="17"/>
      <c r="GXA32" s="17"/>
      <c r="GXB32" s="17"/>
      <c r="GXC32" s="17"/>
      <c r="GXD32" s="17"/>
      <c r="GXE32" s="17"/>
      <c r="GXF32" s="17"/>
      <c r="GXG32" s="17"/>
      <c r="GXH32" s="17"/>
      <c r="GXI32" s="17"/>
      <c r="GXJ32" s="17"/>
      <c r="GXK32" s="17"/>
      <c r="GXL32" s="17"/>
      <c r="GXM32" s="17"/>
      <c r="GXN32" s="17"/>
      <c r="GXO32" s="17"/>
      <c r="GXP32" s="17"/>
      <c r="GXQ32" s="17"/>
      <c r="GXR32" s="17"/>
      <c r="GXS32" s="17"/>
      <c r="GXT32" s="17"/>
      <c r="GXU32" s="17"/>
      <c r="GXV32" s="17"/>
      <c r="GXW32" s="17"/>
      <c r="GXX32" s="17"/>
      <c r="GXY32" s="17"/>
      <c r="GXZ32" s="17"/>
      <c r="GYA32" s="17"/>
      <c r="GYB32" s="17"/>
      <c r="GYC32" s="17"/>
      <c r="GYD32" s="17"/>
      <c r="GYE32" s="17"/>
      <c r="GYF32" s="17"/>
      <c r="GYG32" s="17"/>
      <c r="GYH32" s="17"/>
      <c r="GYI32" s="17"/>
      <c r="GYJ32" s="17"/>
      <c r="GYK32" s="17"/>
      <c r="GYL32" s="17"/>
      <c r="GYM32" s="17"/>
      <c r="GYN32" s="17"/>
      <c r="GYO32" s="17"/>
      <c r="GYP32" s="17"/>
      <c r="GYQ32" s="17"/>
      <c r="GYR32" s="17"/>
      <c r="GYS32" s="17"/>
      <c r="GYT32" s="17"/>
      <c r="GYU32" s="17"/>
      <c r="GYV32" s="17"/>
      <c r="GYW32" s="17"/>
      <c r="GYX32" s="17"/>
      <c r="GYY32" s="17"/>
      <c r="GYZ32" s="17"/>
      <c r="GZA32" s="17"/>
      <c r="GZB32" s="17"/>
      <c r="GZC32" s="17"/>
      <c r="GZD32" s="17"/>
      <c r="GZE32" s="17"/>
      <c r="GZF32" s="17"/>
      <c r="GZG32" s="17"/>
      <c r="GZH32" s="17"/>
      <c r="GZI32" s="17"/>
      <c r="GZJ32" s="17"/>
      <c r="GZK32" s="17"/>
      <c r="GZL32" s="17"/>
      <c r="GZM32" s="17"/>
      <c r="GZN32" s="17"/>
      <c r="GZO32" s="17"/>
      <c r="GZP32" s="17"/>
      <c r="GZQ32" s="17"/>
      <c r="GZR32" s="17"/>
      <c r="GZS32" s="17"/>
      <c r="GZT32" s="17"/>
      <c r="GZU32" s="17"/>
      <c r="GZV32" s="17"/>
      <c r="GZW32" s="17"/>
      <c r="GZX32" s="17"/>
      <c r="GZY32" s="17"/>
      <c r="GZZ32" s="17"/>
      <c r="HAA32" s="17"/>
      <c r="HAB32" s="17"/>
      <c r="HAC32" s="17"/>
      <c r="HAD32" s="17"/>
      <c r="HAE32" s="17"/>
      <c r="HAF32" s="17"/>
      <c r="HAG32" s="17"/>
      <c r="HAH32" s="17"/>
      <c r="HAI32" s="17"/>
      <c r="HAJ32" s="17"/>
      <c r="HAK32" s="17"/>
      <c r="HAL32" s="17"/>
      <c r="HAM32" s="17"/>
      <c r="HAN32" s="17"/>
      <c r="HAO32" s="17"/>
      <c r="HAP32" s="17"/>
      <c r="HAQ32" s="17"/>
      <c r="HAR32" s="17"/>
      <c r="HAS32" s="17"/>
      <c r="HAT32" s="17"/>
      <c r="HAU32" s="17"/>
      <c r="HAV32" s="17"/>
      <c r="HAW32" s="17"/>
      <c r="HAX32" s="17"/>
      <c r="HAY32" s="17"/>
      <c r="HAZ32" s="17"/>
      <c r="HBA32" s="17"/>
      <c r="HBB32" s="17"/>
      <c r="HBC32" s="17"/>
      <c r="HBD32" s="17"/>
      <c r="HBE32" s="17"/>
      <c r="HBF32" s="17"/>
      <c r="HBG32" s="17"/>
      <c r="HBH32" s="17"/>
      <c r="HBI32" s="17"/>
      <c r="HBJ32" s="17"/>
      <c r="HBK32" s="17"/>
      <c r="HBL32" s="17"/>
      <c r="HBM32" s="17"/>
      <c r="HBN32" s="17"/>
      <c r="HBO32" s="17"/>
      <c r="HBP32" s="17"/>
      <c r="HBQ32" s="17"/>
      <c r="HBR32" s="17"/>
      <c r="HBS32" s="17"/>
      <c r="HBT32" s="17"/>
      <c r="HBU32" s="17"/>
      <c r="HBV32" s="17"/>
      <c r="HBW32" s="17"/>
      <c r="HBX32" s="17"/>
      <c r="HBY32" s="17"/>
      <c r="HBZ32" s="17"/>
      <c r="HCA32" s="17"/>
      <c r="HCB32" s="17"/>
      <c r="HCC32" s="17"/>
      <c r="HCD32" s="17"/>
      <c r="HCE32" s="17"/>
      <c r="HCF32" s="17"/>
      <c r="HCG32" s="17"/>
      <c r="HCH32" s="17"/>
      <c r="HCI32" s="17"/>
      <c r="HCJ32" s="17"/>
      <c r="HCK32" s="17"/>
      <c r="HCL32" s="17"/>
      <c r="HCM32" s="17"/>
      <c r="HCN32" s="17"/>
      <c r="HCO32" s="17"/>
      <c r="HCP32" s="17"/>
      <c r="HCQ32" s="17"/>
      <c r="HCR32" s="17"/>
      <c r="HCS32" s="17"/>
      <c r="HCT32" s="17"/>
      <c r="HCU32" s="17"/>
      <c r="HCV32" s="17"/>
      <c r="HCW32" s="17"/>
      <c r="HCX32" s="17"/>
      <c r="HCY32" s="17"/>
      <c r="HCZ32" s="17"/>
      <c r="HDA32" s="17"/>
      <c r="HDB32" s="17"/>
      <c r="HDC32" s="17"/>
      <c r="HDD32" s="17"/>
      <c r="HDE32" s="17"/>
      <c r="HDF32" s="17"/>
      <c r="HDG32" s="17"/>
      <c r="HDH32" s="17"/>
      <c r="HDI32" s="17"/>
      <c r="HDJ32" s="17"/>
      <c r="HDK32" s="17"/>
      <c r="HDL32" s="17"/>
      <c r="HDM32" s="17"/>
      <c r="HDN32" s="17"/>
      <c r="HDO32" s="17"/>
      <c r="HDP32" s="17"/>
      <c r="HDQ32" s="17"/>
      <c r="HDR32" s="17"/>
      <c r="HDS32" s="17"/>
      <c r="HDT32" s="17"/>
      <c r="HDU32" s="17"/>
      <c r="HDV32" s="17"/>
      <c r="HDW32" s="17"/>
      <c r="HDX32" s="17"/>
      <c r="HDY32" s="17"/>
      <c r="HDZ32" s="17"/>
      <c r="HEA32" s="17"/>
      <c r="HEB32" s="17"/>
      <c r="HEC32" s="17"/>
      <c r="HED32" s="17"/>
      <c r="HEE32" s="17"/>
      <c r="HEF32" s="17"/>
      <c r="HEG32" s="17"/>
      <c r="HEH32" s="17"/>
      <c r="HEI32" s="17"/>
      <c r="HEJ32" s="17"/>
      <c r="HEK32" s="17"/>
      <c r="HEL32" s="17"/>
      <c r="HEM32" s="17"/>
      <c r="HEN32" s="17"/>
      <c r="HEO32" s="17"/>
      <c r="HEP32" s="17"/>
      <c r="HEQ32" s="17"/>
      <c r="HER32" s="17"/>
      <c r="HES32" s="17"/>
      <c r="HET32" s="17"/>
      <c r="HEU32" s="17"/>
      <c r="HEV32" s="17"/>
      <c r="HEW32" s="17"/>
      <c r="HEX32" s="17"/>
      <c r="HEY32" s="17"/>
      <c r="HEZ32" s="17"/>
      <c r="HFA32" s="17"/>
      <c r="HFB32" s="17"/>
      <c r="HFC32" s="17"/>
      <c r="HFD32" s="17"/>
      <c r="HFE32" s="17"/>
      <c r="HFF32" s="17"/>
      <c r="HFG32" s="17"/>
      <c r="HFH32" s="17"/>
      <c r="HFI32" s="17"/>
      <c r="HFJ32" s="17"/>
      <c r="HFK32" s="17"/>
      <c r="HFL32" s="17"/>
      <c r="HFM32" s="17"/>
      <c r="HFN32" s="17"/>
      <c r="HFO32" s="17"/>
      <c r="HFP32" s="17"/>
      <c r="HFQ32" s="17"/>
      <c r="HFR32" s="17"/>
      <c r="HFS32" s="17"/>
      <c r="HFT32" s="17"/>
      <c r="HFU32" s="17"/>
      <c r="HFV32" s="17"/>
      <c r="HFW32" s="17"/>
      <c r="HFX32" s="17"/>
      <c r="HFY32" s="17"/>
      <c r="HFZ32" s="17"/>
      <c r="HGA32" s="17"/>
      <c r="HGB32" s="17"/>
      <c r="HGC32" s="17"/>
      <c r="HGD32" s="17"/>
      <c r="HGE32" s="17"/>
      <c r="HGF32" s="17"/>
      <c r="HGG32" s="17"/>
      <c r="HGH32" s="17"/>
      <c r="HGI32" s="17"/>
      <c r="HGJ32" s="17"/>
      <c r="HGK32" s="17"/>
      <c r="HGL32" s="17"/>
      <c r="HGM32" s="17"/>
      <c r="HGN32" s="17"/>
      <c r="HGO32" s="17"/>
      <c r="HGP32" s="17"/>
      <c r="HGQ32" s="17"/>
      <c r="HGR32" s="17"/>
      <c r="HGS32" s="17"/>
      <c r="HGT32" s="17"/>
      <c r="HGU32" s="17"/>
      <c r="HGV32" s="17"/>
      <c r="HGW32" s="17"/>
      <c r="HGX32" s="17"/>
      <c r="HGY32" s="17"/>
      <c r="HGZ32" s="17"/>
      <c r="HHA32" s="17"/>
      <c r="HHB32" s="17"/>
      <c r="HHC32" s="17"/>
      <c r="HHD32" s="17"/>
      <c r="HHE32" s="17"/>
      <c r="HHF32" s="17"/>
      <c r="HHG32" s="17"/>
      <c r="HHH32" s="17"/>
      <c r="HHI32" s="17"/>
      <c r="HHJ32" s="17"/>
      <c r="HHK32" s="17"/>
      <c r="HHL32" s="17"/>
      <c r="HHM32" s="17"/>
      <c r="HHN32" s="17"/>
      <c r="HHO32" s="17"/>
      <c r="HHP32" s="17"/>
      <c r="HHQ32" s="17"/>
      <c r="HHR32" s="17"/>
      <c r="HHS32" s="17"/>
      <c r="HHT32" s="17"/>
      <c r="HHU32" s="17"/>
      <c r="HHV32" s="17"/>
      <c r="HHW32" s="17"/>
      <c r="HHX32" s="17"/>
      <c r="HHY32" s="17"/>
      <c r="HHZ32" s="17"/>
      <c r="HIA32" s="17"/>
      <c r="HIB32" s="17"/>
      <c r="HIC32" s="17"/>
      <c r="HID32" s="17"/>
      <c r="HIE32" s="17"/>
      <c r="HIF32" s="17"/>
      <c r="HIG32" s="17"/>
      <c r="HIH32" s="17"/>
      <c r="HII32" s="17"/>
      <c r="HIJ32" s="17"/>
      <c r="HIK32" s="17"/>
      <c r="HIL32" s="17"/>
      <c r="HIM32" s="17"/>
      <c r="HIN32" s="17"/>
      <c r="HIO32" s="17"/>
      <c r="HIP32" s="17"/>
      <c r="HIQ32" s="17"/>
      <c r="HIR32" s="17"/>
      <c r="HIS32" s="17"/>
      <c r="HIT32" s="17"/>
      <c r="HIU32" s="17"/>
      <c r="HIV32" s="17"/>
      <c r="HIW32" s="17"/>
      <c r="HIX32" s="17"/>
      <c r="HIY32" s="17"/>
      <c r="HIZ32" s="17"/>
      <c r="HJA32" s="17"/>
      <c r="HJB32" s="17"/>
      <c r="HJC32" s="17"/>
      <c r="HJD32" s="17"/>
      <c r="HJE32" s="17"/>
      <c r="HJF32" s="17"/>
      <c r="HJG32" s="17"/>
      <c r="HJH32" s="17"/>
      <c r="HJI32" s="17"/>
      <c r="HJJ32" s="17"/>
      <c r="HJK32" s="17"/>
      <c r="HJL32" s="17"/>
      <c r="HJM32" s="17"/>
      <c r="HJN32" s="17"/>
      <c r="HJO32" s="17"/>
      <c r="HJP32" s="17"/>
      <c r="HJQ32" s="17"/>
      <c r="HJR32" s="17"/>
      <c r="HJS32" s="17"/>
      <c r="HJT32" s="17"/>
      <c r="HJU32" s="17"/>
      <c r="HJV32" s="17"/>
      <c r="HJW32" s="17"/>
      <c r="HJX32" s="17"/>
      <c r="HJY32" s="17"/>
      <c r="HJZ32" s="17"/>
      <c r="HKA32" s="17"/>
      <c r="HKB32" s="17"/>
      <c r="HKC32" s="17"/>
      <c r="HKD32" s="17"/>
      <c r="HKE32" s="17"/>
      <c r="HKF32" s="17"/>
      <c r="HKG32" s="17"/>
      <c r="HKH32" s="17"/>
      <c r="HKI32" s="17"/>
      <c r="HKJ32" s="17"/>
      <c r="HKK32" s="17"/>
      <c r="HKL32" s="17"/>
      <c r="HKM32" s="17"/>
      <c r="HKN32" s="17"/>
      <c r="HKO32" s="17"/>
      <c r="HKP32" s="17"/>
      <c r="HKQ32" s="17"/>
      <c r="HKR32" s="17"/>
      <c r="HKS32" s="17"/>
      <c r="HKT32" s="17"/>
      <c r="HKU32" s="17"/>
      <c r="HKV32" s="17"/>
      <c r="HKW32" s="17"/>
      <c r="HKX32" s="17"/>
      <c r="HKY32" s="17"/>
      <c r="HKZ32" s="17"/>
      <c r="HLA32" s="17"/>
      <c r="HLB32" s="17"/>
      <c r="HLC32" s="17"/>
      <c r="HLD32" s="17"/>
      <c r="HLE32" s="17"/>
      <c r="HLF32" s="17"/>
      <c r="HLG32" s="17"/>
      <c r="HLH32" s="17"/>
      <c r="HLI32" s="17"/>
      <c r="HLJ32" s="17"/>
      <c r="HLK32" s="17"/>
      <c r="HLL32" s="17"/>
      <c r="HLM32" s="17"/>
      <c r="HLN32" s="17"/>
      <c r="HLO32" s="17"/>
      <c r="HLP32" s="17"/>
      <c r="HLQ32" s="17"/>
      <c r="HLR32" s="17"/>
      <c r="HLS32" s="17"/>
      <c r="HLT32" s="17"/>
      <c r="HLU32" s="17"/>
      <c r="HLV32" s="17"/>
      <c r="HLW32" s="17"/>
      <c r="HLX32" s="17"/>
      <c r="HLY32" s="17"/>
      <c r="HLZ32" s="17"/>
      <c r="HMA32" s="17"/>
      <c r="HMB32" s="17"/>
      <c r="HMC32" s="17"/>
      <c r="HMD32" s="17"/>
      <c r="HME32" s="17"/>
      <c r="HMF32" s="17"/>
      <c r="HMG32" s="17"/>
      <c r="HMH32" s="17"/>
      <c r="HMI32" s="17"/>
      <c r="HMJ32" s="17"/>
      <c r="HMK32" s="17"/>
      <c r="HML32" s="17"/>
      <c r="HMM32" s="17"/>
      <c r="HMN32" s="17"/>
      <c r="HMO32" s="17"/>
      <c r="HMP32" s="17"/>
      <c r="HMQ32" s="17"/>
      <c r="HMR32" s="17"/>
      <c r="HMS32" s="17"/>
      <c r="HMT32" s="17"/>
      <c r="HMU32" s="17"/>
      <c r="HMV32" s="17"/>
      <c r="HMW32" s="17"/>
      <c r="HMX32" s="17"/>
      <c r="HMY32" s="17"/>
      <c r="HMZ32" s="17"/>
      <c r="HNA32" s="17"/>
      <c r="HNB32" s="17"/>
      <c r="HNC32" s="17"/>
      <c r="HND32" s="17"/>
      <c r="HNE32" s="17"/>
      <c r="HNF32" s="17"/>
      <c r="HNG32" s="17"/>
      <c r="HNH32" s="17"/>
      <c r="HNI32" s="17"/>
      <c r="HNJ32" s="17"/>
      <c r="HNK32" s="17"/>
      <c r="HNL32" s="17"/>
      <c r="HNM32" s="17"/>
      <c r="HNN32" s="17"/>
      <c r="HNO32" s="17"/>
      <c r="HNP32" s="17"/>
      <c r="HNQ32" s="17"/>
      <c r="HNR32" s="17"/>
      <c r="HNS32" s="17"/>
      <c r="HNT32" s="17"/>
      <c r="HNU32" s="17"/>
      <c r="HNV32" s="17"/>
      <c r="HNW32" s="17"/>
      <c r="HNX32" s="17"/>
      <c r="HNY32" s="17"/>
      <c r="HNZ32" s="17"/>
      <c r="HOA32" s="17"/>
      <c r="HOB32" s="17"/>
      <c r="HOC32" s="17"/>
      <c r="HOD32" s="17"/>
      <c r="HOE32" s="17"/>
      <c r="HOF32" s="17"/>
      <c r="HOG32" s="17"/>
      <c r="HOH32" s="17"/>
      <c r="HOI32" s="17"/>
      <c r="HOJ32" s="17"/>
      <c r="HOK32" s="17"/>
      <c r="HOL32" s="17"/>
      <c r="HOM32" s="17"/>
      <c r="HON32" s="17"/>
      <c r="HOO32" s="17"/>
      <c r="HOP32" s="17"/>
      <c r="HOQ32" s="17"/>
      <c r="HOR32" s="17"/>
      <c r="HOS32" s="17"/>
      <c r="HOT32" s="17"/>
      <c r="HOU32" s="17"/>
      <c r="HOV32" s="17"/>
      <c r="HOW32" s="17"/>
      <c r="HOX32" s="17"/>
      <c r="HOY32" s="17"/>
      <c r="HOZ32" s="17"/>
      <c r="HPA32" s="17"/>
      <c r="HPB32" s="17"/>
      <c r="HPC32" s="17"/>
      <c r="HPD32" s="17"/>
      <c r="HPE32" s="17"/>
      <c r="HPF32" s="17"/>
      <c r="HPG32" s="17"/>
      <c r="HPH32" s="17"/>
      <c r="HPI32" s="17"/>
      <c r="HPJ32" s="17"/>
      <c r="HPK32" s="17"/>
      <c r="HPL32" s="17"/>
      <c r="HPM32" s="17"/>
      <c r="HPN32" s="17"/>
      <c r="HPO32" s="17"/>
      <c r="HPP32" s="17"/>
      <c r="HPQ32" s="17"/>
      <c r="HPR32" s="17"/>
      <c r="HPS32" s="17"/>
      <c r="HPT32" s="17"/>
      <c r="HPU32" s="17"/>
      <c r="HPV32" s="17"/>
      <c r="HPW32" s="17"/>
      <c r="HPX32" s="17"/>
      <c r="HPY32" s="17"/>
      <c r="HPZ32" s="17"/>
      <c r="HQA32" s="17"/>
      <c r="HQB32" s="17"/>
      <c r="HQC32" s="17"/>
      <c r="HQD32" s="17"/>
      <c r="HQE32" s="17"/>
      <c r="HQF32" s="17"/>
      <c r="HQG32" s="17"/>
      <c r="HQH32" s="17"/>
      <c r="HQI32" s="17"/>
      <c r="HQJ32" s="17"/>
      <c r="HQK32" s="17"/>
      <c r="HQL32" s="17"/>
      <c r="HQM32" s="17"/>
      <c r="HQN32" s="17"/>
      <c r="HQO32" s="17"/>
      <c r="HQP32" s="17"/>
      <c r="HQQ32" s="17"/>
      <c r="HQR32" s="17"/>
      <c r="HQS32" s="17"/>
      <c r="HQT32" s="17"/>
      <c r="HQU32" s="17"/>
      <c r="HQV32" s="17"/>
      <c r="HQW32" s="17"/>
      <c r="HQX32" s="17"/>
      <c r="HQY32" s="17"/>
      <c r="HQZ32" s="17"/>
      <c r="HRA32" s="17"/>
      <c r="HRB32" s="17"/>
      <c r="HRC32" s="17"/>
      <c r="HRD32" s="17"/>
      <c r="HRE32" s="17"/>
      <c r="HRF32" s="17"/>
      <c r="HRG32" s="17"/>
      <c r="HRH32" s="17"/>
      <c r="HRI32" s="17"/>
      <c r="HRJ32" s="17"/>
      <c r="HRK32" s="17"/>
      <c r="HRL32" s="17"/>
      <c r="HRM32" s="17"/>
      <c r="HRN32" s="17"/>
      <c r="HRO32" s="17"/>
      <c r="HRP32" s="17"/>
      <c r="HRQ32" s="17"/>
      <c r="HRR32" s="17"/>
      <c r="HRS32" s="17"/>
      <c r="HRT32" s="17"/>
      <c r="HRU32" s="17"/>
      <c r="HRV32" s="17"/>
      <c r="HRW32" s="17"/>
      <c r="HRX32" s="17"/>
      <c r="HRY32" s="17"/>
      <c r="HRZ32" s="17"/>
      <c r="HSA32" s="17"/>
      <c r="HSB32" s="17"/>
      <c r="HSC32" s="17"/>
      <c r="HSD32" s="17"/>
      <c r="HSE32" s="17"/>
      <c r="HSF32" s="17"/>
      <c r="HSG32" s="17"/>
      <c r="HSH32" s="17"/>
      <c r="HSI32" s="17"/>
      <c r="HSJ32" s="17"/>
      <c r="HSK32" s="17"/>
      <c r="HSL32" s="17"/>
      <c r="HSM32" s="17"/>
      <c r="HSN32" s="17"/>
      <c r="HSO32" s="17"/>
      <c r="HSP32" s="17"/>
      <c r="HSQ32" s="17"/>
      <c r="HSR32" s="17"/>
      <c r="HSS32" s="17"/>
      <c r="HST32" s="17"/>
      <c r="HSU32" s="17"/>
      <c r="HSV32" s="17"/>
      <c r="HSW32" s="17"/>
      <c r="HSX32" s="17"/>
      <c r="HSY32" s="17"/>
      <c r="HSZ32" s="17"/>
      <c r="HTA32" s="17"/>
      <c r="HTB32" s="17"/>
      <c r="HTC32" s="17"/>
      <c r="HTD32" s="17"/>
      <c r="HTE32" s="17"/>
      <c r="HTF32" s="17"/>
      <c r="HTG32" s="17"/>
      <c r="HTH32" s="17"/>
      <c r="HTI32" s="17"/>
      <c r="HTJ32" s="17"/>
      <c r="HTK32" s="17"/>
      <c r="HTL32" s="17"/>
      <c r="HTM32" s="17"/>
      <c r="HTN32" s="17"/>
      <c r="HTO32" s="17"/>
      <c r="HTP32" s="17"/>
      <c r="HTQ32" s="17"/>
      <c r="HTR32" s="17"/>
      <c r="HTS32" s="17"/>
      <c r="HTT32" s="17"/>
      <c r="HTU32" s="17"/>
      <c r="HTV32" s="17"/>
      <c r="HTW32" s="17"/>
      <c r="HTX32" s="17"/>
      <c r="HTY32" s="17"/>
      <c r="HTZ32" s="17"/>
      <c r="HUA32" s="17"/>
      <c r="HUB32" s="17"/>
      <c r="HUC32" s="17"/>
      <c r="HUD32" s="17"/>
      <c r="HUE32" s="17"/>
      <c r="HUF32" s="17"/>
      <c r="HUG32" s="17"/>
      <c r="HUH32" s="17"/>
      <c r="HUI32" s="17"/>
      <c r="HUJ32" s="17"/>
      <c r="HUK32" s="17"/>
      <c r="HUL32" s="17"/>
      <c r="HUM32" s="17"/>
      <c r="HUN32" s="17"/>
      <c r="HUO32" s="17"/>
      <c r="HUP32" s="17"/>
      <c r="HUQ32" s="17"/>
      <c r="HUR32" s="17"/>
      <c r="HUS32" s="17"/>
      <c r="HUT32" s="17"/>
      <c r="HUU32" s="17"/>
      <c r="HUV32" s="17"/>
      <c r="HUW32" s="17"/>
      <c r="HUX32" s="17"/>
      <c r="HUY32" s="17"/>
      <c r="HUZ32" s="17"/>
      <c r="HVA32" s="17"/>
      <c r="HVB32" s="17"/>
      <c r="HVC32" s="17"/>
      <c r="HVD32" s="17"/>
      <c r="HVE32" s="17"/>
      <c r="HVF32" s="17"/>
      <c r="HVG32" s="17"/>
      <c r="HVH32" s="17"/>
      <c r="HVI32" s="17"/>
      <c r="HVJ32" s="17"/>
      <c r="HVK32" s="17"/>
      <c r="HVL32" s="17"/>
      <c r="HVM32" s="17"/>
      <c r="HVN32" s="17"/>
      <c r="HVO32" s="17"/>
      <c r="HVP32" s="17"/>
      <c r="HVQ32" s="17"/>
      <c r="HVR32" s="17"/>
      <c r="HVS32" s="17"/>
      <c r="HVT32" s="17"/>
      <c r="HVU32" s="17"/>
      <c r="HVV32" s="17"/>
      <c r="HVW32" s="17"/>
      <c r="HVX32" s="17"/>
      <c r="HVY32" s="17"/>
      <c r="HVZ32" s="17"/>
      <c r="HWA32" s="17"/>
      <c r="HWB32" s="17"/>
      <c r="HWC32" s="17"/>
      <c r="HWD32" s="17"/>
      <c r="HWE32" s="17"/>
      <c r="HWF32" s="17"/>
      <c r="HWG32" s="17"/>
      <c r="HWH32" s="17"/>
      <c r="HWI32" s="17"/>
      <c r="HWJ32" s="17"/>
      <c r="HWK32" s="17"/>
      <c r="HWL32" s="17"/>
      <c r="HWM32" s="17"/>
      <c r="HWN32" s="17"/>
      <c r="HWO32" s="17"/>
      <c r="HWP32" s="17"/>
      <c r="HWQ32" s="17"/>
      <c r="HWR32" s="17"/>
      <c r="HWS32" s="17"/>
      <c r="HWT32" s="17"/>
      <c r="HWU32" s="17"/>
      <c r="HWV32" s="17"/>
      <c r="HWW32" s="17"/>
      <c r="HWX32" s="17"/>
      <c r="HWY32" s="17"/>
      <c r="HWZ32" s="17"/>
      <c r="HXA32" s="17"/>
      <c r="HXB32" s="17"/>
      <c r="HXC32" s="17"/>
      <c r="HXD32" s="17"/>
      <c r="HXE32" s="17"/>
      <c r="HXF32" s="17"/>
      <c r="HXG32" s="17"/>
      <c r="HXH32" s="17"/>
      <c r="HXI32" s="17"/>
      <c r="HXJ32" s="17"/>
      <c r="HXK32" s="17"/>
      <c r="HXL32" s="17"/>
      <c r="HXM32" s="17"/>
      <c r="HXN32" s="17"/>
      <c r="HXO32" s="17"/>
      <c r="HXP32" s="17"/>
      <c r="HXQ32" s="17"/>
      <c r="HXR32" s="17"/>
      <c r="HXS32" s="17"/>
      <c r="HXT32" s="17"/>
      <c r="HXU32" s="17"/>
      <c r="HXV32" s="17"/>
      <c r="HXW32" s="17"/>
      <c r="HXX32" s="17"/>
      <c r="HXY32" s="17"/>
      <c r="HXZ32" s="17"/>
      <c r="HYA32" s="17"/>
      <c r="HYB32" s="17"/>
      <c r="HYC32" s="17"/>
      <c r="HYD32" s="17"/>
      <c r="HYE32" s="17"/>
      <c r="HYF32" s="17"/>
      <c r="HYG32" s="17"/>
      <c r="HYH32" s="17"/>
      <c r="HYI32" s="17"/>
      <c r="HYJ32" s="17"/>
      <c r="HYK32" s="17"/>
      <c r="HYL32" s="17"/>
      <c r="HYM32" s="17"/>
      <c r="HYN32" s="17"/>
      <c r="HYO32" s="17"/>
      <c r="HYP32" s="17"/>
      <c r="HYQ32" s="17"/>
      <c r="HYR32" s="17"/>
      <c r="HYS32" s="17"/>
      <c r="HYT32" s="17"/>
      <c r="HYU32" s="17"/>
      <c r="HYV32" s="17"/>
      <c r="HYW32" s="17"/>
      <c r="HYX32" s="17"/>
      <c r="HYY32" s="17"/>
      <c r="HYZ32" s="17"/>
      <c r="HZA32" s="17"/>
      <c r="HZB32" s="17"/>
      <c r="HZC32" s="17"/>
      <c r="HZD32" s="17"/>
      <c r="HZE32" s="17"/>
      <c r="HZF32" s="17"/>
      <c r="HZG32" s="17"/>
      <c r="HZH32" s="17"/>
      <c r="HZI32" s="17"/>
      <c r="HZJ32" s="17"/>
      <c r="HZK32" s="17"/>
      <c r="HZL32" s="17"/>
      <c r="HZM32" s="17"/>
      <c r="HZN32" s="17"/>
      <c r="HZO32" s="17"/>
      <c r="HZP32" s="17"/>
      <c r="HZQ32" s="17"/>
      <c r="HZR32" s="17"/>
      <c r="HZS32" s="17"/>
      <c r="HZT32" s="17"/>
      <c r="HZU32" s="17"/>
      <c r="HZV32" s="17"/>
      <c r="HZW32" s="17"/>
      <c r="HZX32" s="17"/>
      <c r="HZY32" s="17"/>
      <c r="HZZ32" s="17"/>
      <c r="IAA32" s="17"/>
      <c r="IAB32" s="17"/>
      <c r="IAC32" s="17"/>
      <c r="IAD32" s="17"/>
      <c r="IAE32" s="17"/>
      <c r="IAF32" s="17"/>
      <c r="IAG32" s="17"/>
      <c r="IAH32" s="17"/>
      <c r="IAI32" s="17"/>
      <c r="IAJ32" s="17"/>
      <c r="IAK32" s="17"/>
      <c r="IAL32" s="17"/>
      <c r="IAM32" s="17"/>
      <c r="IAN32" s="17"/>
      <c r="IAO32" s="17"/>
      <c r="IAP32" s="17"/>
      <c r="IAQ32" s="17"/>
      <c r="IAR32" s="17"/>
      <c r="IAS32" s="17"/>
      <c r="IAT32" s="17"/>
      <c r="IAU32" s="17"/>
      <c r="IAV32" s="17"/>
      <c r="IAW32" s="17"/>
      <c r="IAX32" s="17"/>
      <c r="IAY32" s="17"/>
      <c r="IAZ32" s="17"/>
      <c r="IBA32" s="17"/>
      <c r="IBB32" s="17"/>
      <c r="IBC32" s="17"/>
      <c r="IBD32" s="17"/>
      <c r="IBE32" s="17"/>
      <c r="IBF32" s="17"/>
      <c r="IBG32" s="17"/>
      <c r="IBH32" s="17"/>
      <c r="IBI32" s="17"/>
      <c r="IBJ32" s="17"/>
      <c r="IBK32" s="17"/>
      <c r="IBL32" s="17"/>
      <c r="IBM32" s="17"/>
      <c r="IBN32" s="17"/>
      <c r="IBO32" s="17"/>
      <c r="IBP32" s="17"/>
      <c r="IBQ32" s="17"/>
      <c r="IBR32" s="17"/>
      <c r="IBS32" s="17"/>
      <c r="IBT32" s="17"/>
      <c r="IBU32" s="17"/>
      <c r="IBV32" s="17"/>
      <c r="IBW32" s="17"/>
      <c r="IBX32" s="17"/>
      <c r="IBY32" s="17"/>
      <c r="IBZ32" s="17"/>
      <c r="ICA32" s="17"/>
      <c r="ICB32" s="17"/>
      <c r="ICC32" s="17"/>
      <c r="ICD32" s="17"/>
      <c r="ICE32" s="17"/>
      <c r="ICF32" s="17"/>
      <c r="ICG32" s="17"/>
      <c r="ICH32" s="17"/>
      <c r="ICI32" s="17"/>
      <c r="ICJ32" s="17"/>
      <c r="ICK32" s="17"/>
      <c r="ICL32" s="17"/>
      <c r="ICM32" s="17"/>
      <c r="ICN32" s="17"/>
      <c r="ICO32" s="17"/>
      <c r="ICP32" s="17"/>
      <c r="ICQ32" s="17"/>
      <c r="ICR32" s="17"/>
      <c r="ICS32" s="17"/>
      <c r="ICT32" s="17"/>
      <c r="ICU32" s="17"/>
      <c r="ICV32" s="17"/>
      <c r="ICW32" s="17"/>
      <c r="ICX32" s="17"/>
      <c r="ICY32" s="17"/>
      <c r="ICZ32" s="17"/>
      <c r="IDA32" s="17"/>
      <c r="IDB32" s="17"/>
      <c r="IDC32" s="17"/>
      <c r="IDD32" s="17"/>
      <c r="IDE32" s="17"/>
      <c r="IDF32" s="17"/>
      <c r="IDG32" s="17"/>
      <c r="IDH32" s="17"/>
      <c r="IDI32" s="17"/>
      <c r="IDJ32" s="17"/>
      <c r="IDK32" s="17"/>
      <c r="IDL32" s="17"/>
      <c r="IDM32" s="17"/>
      <c r="IDN32" s="17"/>
      <c r="IDO32" s="17"/>
      <c r="IDP32" s="17"/>
      <c r="IDQ32" s="17"/>
      <c r="IDR32" s="17"/>
      <c r="IDS32" s="17"/>
      <c r="IDT32" s="17"/>
      <c r="IDU32" s="17"/>
      <c r="IDV32" s="17"/>
      <c r="IDW32" s="17"/>
      <c r="IDX32" s="17"/>
      <c r="IDY32" s="17"/>
      <c r="IDZ32" s="17"/>
      <c r="IEA32" s="17"/>
      <c r="IEB32" s="17"/>
      <c r="IEC32" s="17"/>
      <c r="IED32" s="17"/>
      <c r="IEE32" s="17"/>
      <c r="IEF32" s="17"/>
      <c r="IEG32" s="17"/>
      <c r="IEH32" s="17"/>
      <c r="IEI32" s="17"/>
      <c r="IEJ32" s="17"/>
      <c r="IEK32" s="17"/>
      <c r="IEL32" s="17"/>
      <c r="IEM32" s="17"/>
      <c r="IEN32" s="17"/>
      <c r="IEO32" s="17"/>
      <c r="IEP32" s="17"/>
      <c r="IEQ32" s="17"/>
      <c r="IER32" s="17"/>
      <c r="IES32" s="17"/>
      <c r="IET32" s="17"/>
      <c r="IEU32" s="17"/>
      <c r="IEV32" s="17"/>
      <c r="IEW32" s="17"/>
      <c r="IEX32" s="17"/>
      <c r="IEY32" s="17"/>
      <c r="IEZ32" s="17"/>
      <c r="IFA32" s="17"/>
      <c r="IFB32" s="17"/>
      <c r="IFC32" s="17"/>
      <c r="IFD32" s="17"/>
      <c r="IFE32" s="17"/>
      <c r="IFF32" s="17"/>
      <c r="IFG32" s="17"/>
      <c r="IFH32" s="17"/>
      <c r="IFI32" s="17"/>
      <c r="IFJ32" s="17"/>
      <c r="IFK32" s="17"/>
      <c r="IFL32" s="17"/>
      <c r="IFM32" s="17"/>
      <c r="IFN32" s="17"/>
      <c r="IFO32" s="17"/>
      <c r="IFP32" s="17"/>
      <c r="IFQ32" s="17"/>
      <c r="IFR32" s="17"/>
      <c r="IFS32" s="17"/>
      <c r="IFT32" s="17"/>
      <c r="IFU32" s="17"/>
      <c r="IFV32" s="17"/>
      <c r="IFW32" s="17"/>
      <c r="IFX32" s="17"/>
      <c r="IFY32" s="17"/>
      <c r="IFZ32" s="17"/>
      <c r="IGA32" s="17"/>
      <c r="IGB32" s="17"/>
      <c r="IGC32" s="17"/>
      <c r="IGD32" s="17"/>
      <c r="IGE32" s="17"/>
      <c r="IGF32" s="17"/>
      <c r="IGG32" s="17"/>
      <c r="IGH32" s="17"/>
      <c r="IGI32" s="17"/>
      <c r="IGJ32" s="17"/>
      <c r="IGK32" s="17"/>
      <c r="IGL32" s="17"/>
      <c r="IGM32" s="17"/>
      <c r="IGN32" s="17"/>
      <c r="IGO32" s="17"/>
      <c r="IGP32" s="17"/>
      <c r="IGQ32" s="17"/>
      <c r="IGR32" s="17"/>
      <c r="IGS32" s="17"/>
      <c r="IGT32" s="17"/>
      <c r="IGU32" s="17"/>
      <c r="IGV32" s="17"/>
      <c r="IGW32" s="17"/>
      <c r="IGX32" s="17"/>
      <c r="IGY32" s="17"/>
      <c r="IGZ32" s="17"/>
      <c r="IHA32" s="17"/>
      <c r="IHB32" s="17"/>
      <c r="IHC32" s="17"/>
      <c r="IHD32" s="17"/>
      <c r="IHE32" s="17"/>
      <c r="IHF32" s="17"/>
      <c r="IHG32" s="17"/>
      <c r="IHH32" s="17"/>
      <c r="IHI32" s="17"/>
      <c r="IHJ32" s="17"/>
      <c r="IHK32" s="17"/>
      <c r="IHL32" s="17"/>
      <c r="IHM32" s="17"/>
      <c r="IHN32" s="17"/>
      <c r="IHO32" s="17"/>
      <c r="IHP32" s="17"/>
      <c r="IHQ32" s="17"/>
      <c r="IHR32" s="17"/>
      <c r="IHS32" s="17"/>
      <c r="IHT32" s="17"/>
      <c r="IHU32" s="17"/>
      <c r="IHV32" s="17"/>
      <c r="IHW32" s="17"/>
      <c r="IHX32" s="17"/>
      <c r="IHY32" s="17"/>
      <c r="IHZ32" s="17"/>
      <c r="IIA32" s="17"/>
      <c r="IIB32" s="17"/>
      <c r="IIC32" s="17"/>
      <c r="IID32" s="17"/>
      <c r="IIE32" s="17"/>
      <c r="IIF32" s="17"/>
      <c r="IIG32" s="17"/>
      <c r="IIH32" s="17"/>
      <c r="III32" s="17"/>
      <c r="IIJ32" s="17"/>
      <c r="IIK32" s="17"/>
      <c r="IIL32" s="17"/>
      <c r="IIM32" s="17"/>
      <c r="IIN32" s="17"/>
      <c r="IIO32" s="17"/>
      <c r="IIP32" s="17"/>
      <c r="IIQ32" s="17"/>
      <c r="IIR32" s="17"/>
      <c r="IIS32" s="17"/>
      <c r="IIT32" s="17"/>
      <c r="IIU32" s="17"/>
      <c r="IIV32" s="17"/>
      <c r="IIW32" s="17"/>
      <c r="IIX32" s="17"/>
      <c r="IIY32" s="17"/>
      <c r="IIZ32" s="17"/>
      <c r="IJA32" s="17"/>
      <c r="IJB32" s="17"/>
      <c r="IJC32" s="17"/>
      <c r="IJD32" s="17"/>
      <c r="IJE32" s="17"/>
      <c r="IJF32" s="17"/>
      <c r="IJG32" s="17"/>
      <c r="IJH32" s="17"/>
      <c r="IJI32" s="17"/>
      <c r="IJJ32" s="17"/>
      <c r="IJK32" s="17"/>
      <c r="IJL32" s="17"/>
      <c r="IJM32" s="17"/>
      <c r="IJN32" s="17"/>
      <c r="IJO32" s="17"/>
      <c r="IJP32" s="17"/>
      <c r="IJQ32" s="17"/>
      <c r="IJR32" s="17"/>
      <c r="IJS32" s="17"/>
      <c r="IJT32" s="17"/>
      <c r="IJU32" s="17"/>
      <c r="IJV32" s="17"/>
      <c r="IJW32" s="17"/>
      <c r="IJX32" s="17"/>
      <c r="IJY32" s="17"/>
      <c r="IJZ32" s="17"/>
      <c r="IKA32" s="17"/>
      <c r="IKB32" s="17"/>
      <c r="IKC32" s="17"/>
      <c r="IKD32" s="17"/>
      <c r="IKE32" s="17"/>
      <c r="IKF32" s="17"/>
      <c r="IKG32" s="17"/>
      <c r="IKH32" s="17"/>
      <c r="IKI32" s="17"/>
      <c r="IKJ32" s="17"/>
      <c r="IKK32" s="17"/>
      <c r="IKL32" s="17"/>
      <c r="IKM32" s="17"/>
      <c r="IKN32" s="17"/>
      <c r="IKO32" s="17"/>
      <c r="IKP32" s="17"/>
      <c r="IKQ32" s="17"/>
      <c r="IKR32" s="17"/>
      <c r="IKS32" s="17"/>
      <c r="IKT32" s="17"/>
      <c r="IKU32" s="17"/>
      <c r="IKV32" s="17"/>
      <c r="IKW32" s="17"/>
      <c r="IKX32" s="17"/>
      <c r="IKY32" s="17"/>
      <c r="IKZ32" s="17"/>
      <c r="ILA32" s="17"/>
      <c r="ILB32" s="17"/>
      <c r="ILC32" s="17"/>
      <c r="ILD32" s="17"/>
      <c r="ILE32" s="17"/>
      <c r="ILF32" s="17"/>
      <c r="ILG32" s="17"/>
      <c r="ILH32" s="17"/>
      <c r="ILI32" s="17"/>
      <c r="ILJ32" s="17"/>
      <c r="ILK32" s="17"/>
      <c r="ILL32" s="17"/>
      <c r="ILM32" s="17"/>
      <c r="ILN32" s="17"/>
      <c r="ILO32" s="17"/>
      <c r="ILP32" s="17"/>
      <c r="ILQ32" s="17"/>
      <c r="ILR32" s="17"/>
      <c r="ILS32" s="17"/>
      <c r="ILT32" s="17"/>
      <c r="ILU32" s="17"/>
      <c r="ILV32" s="17"/>
      <c r="ILW32" s="17"/>
      <c r="ILX32" s="17"/>
      <c r="ILY32" s="17"/>
      <c r="ILZ32" s="17"/>
      <c r="IMA32" s="17"/>
      <c r="IMB32" s="17"/>
      <c r="IMC32" s="17"/>
      <c r="IMD32" s="17"/>
      <c r="IME32" s="17"/>
      <c r="IMF32" s="17"/>
      <c r="IMG32" s="17"/>
      <c r="IMH32" s="17"/>
      <c r="IMI32" s="17"/>
      <c r="IMJ32" s="17"/>
      <c r="IMK32" s="17"/>
      <c r="IML32" s="17"/>
      <c r="IMM32" s="17"/>
      <c r="IMN32" s="17"/>
      <c r="IMO32" s="17"/>
      <c r="IMP32" s="17"/>
      <c r="IMQ32" s="17"/>
      <c r="IMR32" s="17"/>
      <c r="IMS32" s="17"/>
      <c r="IMT32" s="17"/>
      <c r="IMU32" s="17"/>
      <c r="IMV32" s="17"/>
      <c r="IMW32" s="17"/>
      <c r="IMX32" s="17"/>
      <c r="IMY32" s="17"/>
      <c r="IMZ32" s="17"/>
      <c r="INA32" s="17"/>
      <c r="INB32" s="17"/>
      <c r="INC32" s="17"/>
      <c r="IND32" s="17"/>
      <c r="INE32" s="17"/>
      <c r="INF32" s="17"/>
      <c r="ING32" s="17"/>
      <c r="INH32" s="17"/>
      <c r="INI32" s="17"/>
      <c r="INJ32" s="17"/>
      <c r="INK32" s="17"/>
      <c r="INL32" s="17"/>
      <c r="INM32" s="17"/>
      <c r="INN32" s="17"/>
      <c r="INO32" s="17"/>
      <c r="INP32" s="17"/>
      <c r="INQ32" s="17"/>
      <c r="INR32" s="17"/>
      <c r="INS32" s="17"/>
      <c r="INT32" s="17"/>
      <c r="INU32" s="17"/>
      <c r="INV32" s="17"/>
      <c r="INW32" s="17"/>
      <c r="INX32" s="17"/>
      <c r="INY32" s="17"/>
      <c r="INZ32" s="17"/>
      <c r="IOA32" s="17"/>
      <c r="IOB32" s="17"/>
      <c r="IOC32" s="17"/>
      <c r="IOD32" s="17"/>
      <c r="IOE32" s="17"/>
      <c r="IOF32" s="17"/>
      <c r="IOG32" s="17"/>
      <c r="IOH32" s="17"/>
      <c r="IOI32" s="17"/>
      <c r="IOJ32" s="17"/>
      <c r="IOK32" s="17"/>
      <c r="IOL32" s="17"/>
      <c r="IOM32" s="17"/>
      <c r="ION32" s="17"/>
      <c r="IOO32" s="17"/>
      <c r="IOP32" s="17"/>
      <c r="IOQ32" s="17"/>
      <c r="IOR32" s="17"/>
      <c r="IOS32" s="17"/>
      <c r="IOT32" s="17"/>
      <c r="IOU32" s="17"/>
      <c r="IOV32" s="17"/>
      <c r="IOW32" s="17"/>
      <c r="IOX32" s="17"/>
      <c r="IOY32" s="17"/>
      <c r="IOZ32" s="17"/>
      <c r="IPA32" s="17"/>
      <c r="IPB32" s="17"/>
      <c r="IPC32" s="17"/>
      <c r="IPD32" s="17"/>
      <c r="IPE32" s="17"/>
      <c r="IPF32" s="17"/>
      <c r="IPG32" s="17"/>
      <c r="IPH32" s="17"/>
      <c r="IPI32" s="17"/>
      <c r="IPJ32" s="17"/>
      <c r="IPK32" s="17"/>
      <c r="IPL32" s="17"/>
      <c r="IPM32" s="17"/>
      <c r="IPN32" s="17"/>
      <c r="IPO32" s="17"/>
      <c r="IPP32" s="17"/>
      <c r="IPQ32" s="17"/>
      <c r="IPR32" s="17"/>
      <c r="IPS32" s="17"/>
      <c r="IPT32" s="17"/>
      <c r="IPU32" s="17"/>
      <c r="IPV32" s="17"/>
      <c r="IPW32" s="17"/>
      <c r="IPX32" s="17"/>
      <c r="IPY32" s="17"/>
      <c r="IPZ32" s="17"/>
      <c r="IQA32" s="17"/>
      <c r="IQB32" s="17"/>
      <c r="IQC32" s="17"/>
      <c r="IQD32" s="17"/>
      <c r="IQE32" s="17"/>
      <c r="IQF32" s="17"/>
      <c r="IQG32" s="17"/>
      <c r="IQH32" s="17"/>
      <c r="IQI32" s="17"/>
      <c r="IQJ32" s="17"/>
      <c r="IQK32" s="17"/>
      <c r="IQL32" s="17"/>
      <c r="IQM32" s="17"/>
      <c r="IQN32" s="17"/>
      <c r="IQO32" s="17"/>
      <c r="IQP32" s="17"/>
      <c r="IQQ32" s="17"/>
      <c r="IQR32" s="17"/>
      <c r="IQS32" s="17"/>
      <c r="IQT32" s="17"/>
      <c r="IQU32" s="17"/>
      <c r="IQV32" s="17"/>
      <c r="IQW32" s="17"/>
      <c r="IQX32" s="17"/>
      <c r="IQY32" s="17"/>
      <c r="IQZ32" s="17"/>
      <c r="IRA32" s="17"/>
      <c r="IRB32" s="17"/>
      <c r="IRC32" s="17"/>
      <c r="IRD32" s="17"/>
      <c r="IRE32" s="17"/>
      <c r="IRF32" s="17"/>
      <c r="IRG32" s="17"/>
      <c r="IRH32" s="17"/>
      <c r="IRI32" s="17"/>
      <c r="IRJ32" s="17"/>
      <c r="IRK32" s="17"/>
      <c r="IRL32" s="17"/>
      <c r="IRM32" s="17"/>
      <c r="IRN32" s="17"/>
      <c r="IRO32" s="17"/>
      <c r="IRP32" s="17"/>
      <c r="IRQ32" s="17"/>
      <c r="IRR32" s="17"/>
      <c r="IRS32" s="17"/>
      <c r="IRT32" s="17"/>
      <c r="IRU32" s="17"/>
      <c r="IRV32" s="17"/>
      <c r="IRW32" s="17"/>
      <c r="IRX32" s="17"/>
      <c r="IRY32" s="17"/>
      <c r="IRZ32" s="17"/>
      <c r="ISA32" s="17"/>
      <c r="ISB32" s="17"/>
      <c r="ISC32" s="17"/>
      <c r="ISD32" s="17"/>
      <c r="ISE32" s="17"/>
      <c r="ISF32" s="17"/>
      <c r="ISG32" s="17"/>
      <c r="ISH32" s="17"/>
      <c r="ISI32" s="17"/>
      <c r="ISJ32" s="17"/>
      <c r="ISK32" s="17"/>
      <c r="ISL32" s="17"/>
      <c r="ISM32" s="17"/>
      <c r="ISN32" s="17"/>
      <c r="ISO32" s="17"/>
      <c r="ISP32" s="17"/>
      <c r="ISQ32" s="17"/>
      <c r="ISR32" s="17"/>
      <c r="ISS32" s="17"/>
      <c r="IST32" s="17"/>
      <c r="ISU32" s="17"/>
      <c r="ISV32" s="17"/>
      <c r="ISW32" s="17"/>
      <c r="ISX32" s="17"/>
      <c r="ISY32" s="17"/>
      <c r="ISZ32" s="17"/>
      <c r="ITA32" s="17"/>
      <c r="ITB32" s="17"/>
      <c r="ITC32" s="17"/>
      <c r="ITD32" s="17"/>
      <c r="ITE32" s="17"/>
      <c r="ITF32" s="17"/>
      <c r="ITG32" s="17"/>
      <c r="ITH32" s="17"/>
      <c r="ITI32" s="17"/>
      <c r="ITJ32" s="17"/>
      <c r="ITK32" s="17"/>
      <c r="ITL32" s="17"/>
      <c r="ITM32" s="17"/>
      <c r="ITN32" s="17"/>
      <c r="ITO32" s="17"/>
      <c r="ITP32" s="17"/>
      <c r="ITQ32" s="17"/>
      <c r="ITR32" s="17"/>
      <c r="ITS32" s="17"/>
      <c r="ITT32" s="17"/>
      <c r="ITU32" s="17"/>
      <c r="ITV32" s="17"/>
      <c r="ITW32" s="17"/>
      <c r="ITX32" s="17"/>
      <c r="ITY32" s="17"/>
      <c r="ITZ32" s="17"/>
      <c r="IUA32" s="17"/>
      <c r="IUB32" s="17"/>
      <c r="IUC32" s="17"/>
      <c r="IUD32" s="17"/>
      <c r="IUE32" s="17"/>
      <c r="IUF32" s="17"/>
      <c r="IUG32" s="17"/>
      <c r="IUH32" s="17"/>
      <c r="IUI32" s="17"/>
      <c r="IUJ32" s="17"/>
      <c r="IUK32" s="17"/>
      <c r="IUL32" s="17"/>
      <c r="IUM32" s="17"/>
      <c r="IUN32" s="17"/>
      <c r="IUO32" s="17"/>
      <c r="IUP32" s="17"/>
      <c r="IUQ32" s="17"/>
      <c r="IUR32" s="17"/>
      <c r="IUS32" s="17"/>
      <c r="IUT32" s="17"/>
      <c r="IUU32" s="17"/>
      <c r="IUV32" s="17"/>
      <c r="IUW32" s="17"/>
      <c r="IUX32" s="17"/>
      <c r="IUY32" s="17"/>
      <c r="IUZ32" s="17"/>
      <c r="IVA32" s="17"/>
      <c r="IVB32" s="17"/>
      <c r="IVC32" s="17"/>
      <c r="IVD32" s="17"/>
      <c r="IVE32" s="17"/>
      <c r="IVF32" s="17"/>
      <c r="IVG32" s="17"/>
      <c r="IVH32" s="17"/>
      <c r="IVI32" s="17"/>
      <c r="IVJ32" s="17"/>
      <c r="IVK32" s="17"/>
      <c r="IVL32" s="17"/>
      <c r="IVM32" s="17"/>
      <c r="IVN32" s="17"/>
      <c r="IVO32" s="17"/>
      <c r="IVP32" s="17"/>
      <c r="IVQ32" s="17"/>
      <c r="IVR32" s="17"/>
      <c r="IVS32" s="17"/>
      <c r="IVT32" s="17"/>
      <c r="IVU32" s="17"/>
      <c r="IVV32" s="17"/>
      <c r="IVW32" s="17"/>
      <c r="IVX32" s="17"/>
      <c r="IVY32" s="17"/>
      <c r="IVZ32" s="17"/>
      <c r="IWA32" s="17"/>
      <c r="IWB32" s="17"/>
      <c r="IWC32" s="17"/>
      <c r="IWD32" s="17"/>
      <c r="IWE32" s="17"/>
      <c r="IWF32" s="17"/>
      <c r="IWG32" s="17"/>
      <c r="IWH32" s="17"/>
      <c r="IWI32" s="17"/>
      <c r="IWJ32" s="17"/>
      <c r="IWK32" s="17"/>
      <c r="IWL32" s="17"/>
      <c r="IWM32" s="17"/>
      <c r="IWN32" s="17"/>
      <c r="IWO32" s="17"/>
      <c r="IWP32" s="17"/>
      <c r="IWQ32" s="17"/>
      <c r="IWR32" s="17"/>
      <c r="IWS32" s="17"/>
      <c r="IWT32" s="17"/>
      <c r="IWU32" s="17"/>
      <c r="IWV32" s="17"/>
      <c r="IWW32" s="17"/>
      <c r="IWX32" s="17"/>
      <c r="IWY32" s="17"/>
      <c r="IWZ32" s="17"/>
      <c r="IXA32" s="17"/>
      <c r="IXB32" s="17"/>
      <c r="IXC32" s="17"/>
      <c r="IXD32" s="17"/>
      <c r="IXE32" s="17"/>
      <c r="IXF32" s="17"/>
      <c r="IXG32" s="17"/>
      <c r="IXH32" s="17"/>
      <c r="IXI32" s="17"/>
      <c r="IXJ32" s="17"/>
      <c r="IXK32" s="17"/>
      <c r="IXL32" s="17"/>
      <c r="IXM32" s="17"/>
      <c r="IXN32" s="17"/>
      <c r="IXO32" s="17"/>
      <c r="IXP32" s="17"/>
      <c r="IXQ32" s="17"/>
      <c r="IXR32" s="17"/>
      <c r="IXS32" s="17"/>
      <c r="IXT32" s="17"/>
      <c r="IXU32" s="17"/>
      <c r="IXV32" s="17"/>
      <c r="IXW32" s="17"/>
      <c r="IXX32" s="17"/>
      <c r="IXY32" s="17"/>
      <c r="IXZ32" s="17"/>
      <c r="IYA32" s="17"/>
      <c r="IYB32" s="17"/>
      <c r="IYC32" s="17"/>
      <c r="IYD32" s="17"/>
      <c r="IYE32" s="17"/>
      <c r="IYF32" s="17"/>
      <c r="IYG32" s="17"/>
      <c r="IYH32" s="17"/>
      <c r="IYI32" s="17"/>
      <c r="IYJ32" s="17"/>
      <c r="IYK32" s="17"/>
      <c r="IYL32" s="17"/>
      <c r="IYM32" s="17"/>
      <c r="IYN32" s="17"/>
      <c r="IYO32" s="17"/>
      <c r="IYP32" s="17"/>
      <c r="IYQ32" s="17"/>
      <c r="IYR32" s="17"/>
      <c r="IYS32" s="17"/>
      <c r="IYT32" s="17"/>
      <c r="IYU32" s="17"/>
      <c r="IYV32" s="17"/>
      <c r="IYW32" s="17"/>
      <c r="IYX32" s="17"/>
      <c r="IYY32" s="17"/>
      <c r="IYZ32" s="17"/>
      <c r="IZA32" s="17"/>
      <c r="IZB32" s="17"/>
      <c r="IZC32" s="17"/>
      <c r="IZD32" s="17"/>
      <c r="IZE32" s="17"/>
      <c r="IZF32" s="17"/>
      <c r="IZG32" s="17"/>
      <c r="IZH32" s="17"/>
      <c r="IZI32" s="17"/>
      <c r="IZJ32" s="17"/>
      <c r="IZK32" s="17"/>
      <c r="IZL32" s="17"/>
      <c r="IZM32" s="17"/>
      <c r="IZN32" s="17"/>
      <c r="IZO32" s="17"/>
      <c r="IZP32" s="17"/>
      <c r="IZQ32" s="17"/>
      <c r="IZR32" s="17"/>
      <c r="IZS32" s="17"/>
      <c r="IZT32" s="17"/>
      <c r="IZU32" s="17"/>
      <c r="IZV32" s="17"/>
      <c r="IZW32" s="17"/>
      <c r="IZX32" s="17"/>
      <c r="IZY32" s="17"/>
      <c r="IZZ32" s="17"/>
      <c r="JAA32" s="17"/>
      <c r="JAB32" s="17"/>
      <c r="JAC32" s="17"/>
      <c r="JAD32" s="17"/>
      <c r="JAE32" s="17"/>
      <c r="JAF32" s="17"/>
      <c r="JAG32" s="17"/>
      <c r="JAH32" s="17"/>
      <c r="JAI32" s="17"/>
      <c r="JAJ32" s="17"/>
      <c r="JAK32" s="17"/>
      <c r="JAL32" s="17"/>
      <c r="JAM32" s="17"/>
      <c r="JAN32" s="17"/>
      <c r="JAO32" s="17"/>
      <c r="JAP32" s="17"/>
      <c r="JAQ32" s="17"/>
      <c r="JAR32" s="17"/>
      <c r="JAS32" s="17"/>
      <c r="JAT32" s="17"/>
      <c r="JAU32" s="17"/>
      <c r="JAV32" s="17"/>
      <c r="JAW32" s="17"/>
      <c r="JAX32" s="17"/>
      <c r="JAY32" s="17"/>
      <c r="JAZ32" s="17"/>
      <c r="JBA32" s="17"/>
      <c r="JBB32" s="17"/>
      <c r="JBC32" s="17"/>
      <c r="JBD32" s="17"/>
      <c r="JBE32" s="17"/>
      <c r="JBF32" s="17"/>
      <c r="JBG32" s="17"/>
      <c r="JBH32" s="17"/>
      <c r="JBI32" s="17"/>
      <c r="JBJ32" s="17"/>
      <c r="JBK32" s="17"/>
      <c r="JBL32" s="17"/>
      <c r="JBM32" s="17"/>
      <c r="JBN32" s="17"/>
      <c r="JBO32" s="17"/>
      <c r="JBP32" s="17"/>
      <c r="JBQ32" s="17"/>
      <c r="JBR32" s="17"/>
      <c r="JBS32" s="17"/>
      <c r="JBT32" s="17"/>
      <c r="JBU32" s="17"/>
      <c r="JBV32" s="17"/>
      <c r="JBW32" s="17"/>
      <c r="JBX32" s="17"/>
      <c r="JBY32" s="17"/>
      <c r="JBZ32" s="17"/>
      <c r="JCA32" s="17"/>
      <c r="JCB32" s="17"/>
      <c r="JCC32" s="17"/>
      <c r="JCD32" s="17"/>
      <c r="JCE32" s="17"/>
      <c r="JCF32" s="17"/>
      <c r="JCG32" s="17"/>
      <c r="JCH32" s="17"/>
      <c r="JCI32" s="17"/>
      <c r="JCJ32" s="17"/>
      <c r="JCK32" s="17"/>
      <c r="JCL32" s="17"/>
      <c r="JCM32" s="17"/>
      <c r="JCN32" s="17"/>
      <c r="JCO32" s="17"/>
      <c r="JCP32" s="17"/>
      <c r="JCQ32" s="17"/>
      <c r="JCR32" s="17"/>
      <c r="JCS32" s="17"/>
      <c r="JCT32" s="17"/>
      <c r="JCU32" s="17"/>
      <c r="JCV32" s="17"/>
      <c r="JCW32" s="17"/>
      <c r="JCX32" s="17"/>
      <c r="JCY32" s="17"/>
      <c r="JCZ32" s="17"/>
      <c r="JDA32" s="17"/>
      <c r="JDB32" s="17"/>
      <c r="JDC32" s="17"/>
      <c r="JDD32" s="17"/>
      <c r="JDE32" s="17"/>
      <c r="JDF32" s="17"/>
      <c r="JDG32" s="17"/>
      <c r="JDH32" s="17"/>
      <c r="JDI32" s="17"/>
      <c r="JDJ32" s="17"/>
      <c r="JDK32" s="17"/>
      <c r="JDL32" s="17"/>
      <c r="JDM32" s="17"/>
      <c r="JDN32" s="17"/>
      <c r="JDO32" s="17"/>
      <c r="JDP32" s="17"/>
      <c r="JDQ32" s="17"/>
      <c r="JDR32" s="17"/>
      <c r="JDS32" s="17"/>
      <c r="JDT32" s="17"/>
      <c r="JDU32" s="17"/>
      <c r="JDV32" s="17"/>
      <c r="JDW32" s="17"/>
      <c r="JDX32" s="17"/>
      <c r="JDY32" s="17"/>
      <c r="JDZ32" s="17"/>
      <c r="JEA32" s="17"/>
      <c r="JEB32" s="17"/>
      <c r="JEC32" s="17"/>
      <c r="JED32" s="17"/>
      <c r="JEE32" s="17"/>
      <c r="JEF32" s="17"/>
      <c r="JEG32" s="17"/>
      <c r="JEH32" s="17"/>
      <c r="JEI32" s="17"/>
      <c r="JEJ32" s="17"/>
      <c r="JEK32" s="17"/>
      <c r="JEL32" s="17"/>
      <c r="JEM32" s="17"/>
      <c r="JEN32" s="17"/>
      <c r="JEO32" s="17"/>
      <c r="JEP32" s="17"/>
      <c r="JEQ32" s="17"/>
      <c r="JER32" s="17"/>
      <c r="JES32" s="17"/>
      <c r="JET32" s="17"/>
      <c r="JEU32" s="17"/>
      <c r="JEV32" s="17"/>
      <c r="JEW32" s="17"/>
      <c r="JEX32" s="17"/>
      <c r="JEY32" s="17"/>
      <c r="JEZ32" s="17"/>
      <c r="JFA32" s="17"/>
      <c r="JFB32" s="17"/>
      <c r="JFC32" s="17"/>
      <c r="JFD32" s="17"/>
      <c r="JFE32" s="17"/>
      <c r="JFF32" s="17"/>
      <c r="JFG32" s="17"/>
      <c r="JFH32" s="17"/>
      <c r="JFI32" s="17"/>
      <c r="JFJ32" s="17"/>
      <c r="JFK32" s="17"/>
      <c r="JFL32" s="17"/>
      <c r="JFM32" s="17"/>
      <c r="JFN32" s="17"/>
      <c r="JFO32" s="17"/>
      <c r="JFP32" s="17"/>
      <c r="JFQ32" s="17"/>
      <c r="JFR32" s="17"/>
      <c r="JFS32" s="17"/>
      <c r="JFT32" s="17"/>
      <c r="JFU32" s="17"/>
      <c r="JFV32" s="17"/>
      <c r="JFW32" s="17"/>
      <c r="JFX32" s="17"/>
      <c r="JFY32" s="17"/>
      <c r="JFZ32" s="17"/>
      <c r="JGA32" s="17"/>
      <c r="JGB32" s="17"/>
      <c r="JGC32" s="17"/>
      <c r="JGD32" s="17"/>
      <c r="JGE32" s="17"/>
      <c r="JGF32" s="17"/>
      <c r="JGG32" s="17"/>
      <c r="JGH32" s="17"/>
      <c r="JGI32" s="17"/>
      <c r="JGJ32" s="17"/>
      <c r="JGK32" s="17"/>
      <c r="JGL32" s="17"/>
      <c r="JGM32" s="17"/>
      <c r="JGN32" s="17"/>
      <c r="JGO32" s="17"/>
      <c r="JGP32" s="17"/>
      <c r="JGQ32" s="17"/>
      <c r="JGR32" s="17"/>
      <c r="JGS32" s="17"/>
      <c r="JGT32" s="17"/>
      <c r="JGU32" s="17"/>
      <c r="JGV32" s="17"/>
      <c r="JGW32" s="17"/>
      <c r="JGX32" s="17"/>
      <c r="JGY32" s="17"/>
      <c r="JGZ32" s="17"/>
      <c r="JHA32" s="17"/>
      <c r="JHB32" s="17"/>
      <c r="JHC32" s="17"/>
      <c r="JHD32" s="17"/>
      <c r="JHE32" s="17"/>
      <c r="JHF32" s="17"/>
      <c r="JHG32" s="17"/>
      <c r="JHH32" s="17"/>
      <c r="JHI32" s="17"/>
      <c r="JHJ32" s="17"/>
      <c r="JHK32" s="17"/>
      <c r="JHL32" s="17"/>
      <c r="JHM32" s="17"/>
      <c r="JHN32" s="17"/>
      <c r="JHO32" s="17"/>
      <c r="JHP32" s="17"/>
      <c r="JHQ32" s="17"/>
      <c r="JHR32" s="17"/>
      <c r="JHS32" s="17"/>
      <c r="JHT32" s="17"/>
      <c r="JHU32" s="17"/>
      <c r="JHV32" s="17"/>
      <c r="JHW32" s="17"/>
      <c r="JHX32" s="17"/>
      <c r="JHY32" s="17"/>
      <c r="JHZ32" s="17"/>
      <c r="JIA32" s="17"/>
      <c r="JIB32" s="17"/>
      <c r="JIC32" s="17"/>
      <c r="JID32" s="17"/>
      <c r="JIE32" s="17"/>
      <c r="JIF32" s="17"/>
      <c r="JIG32" s="17"/>
      <c r="JIH32" s="17"/>
      <c r="JII32" s="17"/>
      <c r="JIJ32" s="17"/>
      <c r="JIK32" s="17"/>
      <c r="JIL32" s="17"/>
      <c r="JIM32" s="17"/>
      <c r="JIN32" s="17"/>
      <c r="JIO32" s="17"/>
      <c r="JIP32" s="17"/>
      <c r="JIQ32" s="17"/>
      <c r="JIR32" s="17"/>
      <c r="JIS32" s="17"/>
      <c r="JIT32" s="17"/>
      <c r="JIU32" s="17"/>
      <c r="JIV32" s="17"/>
      <c r="JIW32" s="17"/>
      <c r="JIX32" s="17"/>
      <c r="JIY32" s="17"/>
      <c r="JIZ32" s="17"/>
      <c r="JJA32" s="17"/>
      <c r="JJB32" s="17"/>
      <c r="JJC32" s="17"/>
      <c r="JJD32" s="17"/>
      <c r="JJE32" s="17"/>
      <c r="JJF32" s="17"/>
      <c r="JJG32" s="17"/>
      <c r="JJH32" s="17"/>
      <c r="JJI32" s="17"/>
      <c r="JJJ32" s="17"/>
      <c r="JJK32" s="17"/>
      <c r="JJL32" s="17"/>
      <c r="JJM32" s="17"/>
      <c r="JJN32" s="17"/>
      <c r="JJO32" s="17"/>
      <c r="JJP32" s="17"/>
      <c r="JJQ32" s="17"/>
      <c r="JJR32" s="17"/>
      <c r="JJS32" s="17"/>
      <c r="JJT32" s="17"/>
      <c r="JJU32" s="17"/>
      <c r="JJV32" s="17"/>
      <c r="JJW32" s="17"/>
      <c r="JJX32" s="17"/>
      <c r="JJY32" s="17"/>
      <c r="JJZ32" s="17"/>
      <c r="JKA32" s="17"/>
      <c r="JKB32" s="17"/>
      <c r="JKC32" s="17"/>
      <c r="JKD32" s="17"/>
      <c r="JKE32" s="17"/>
      <c r="JKF32" s="17"/>
      <c r="JKG32" s="17"/>
      <c r="JKH32" s="17"/>
      <c r="JKI32" s="17"/>
      <c r="JKJ32" s="17"/>
      <c r="JKK32" s="17"/>
      <c r="JKL32" s="17"/>
      <c r="JKM32" s="17"/>
      <c r="JKN32" s="17"/>
      <c r="JKO32" s="17"/>
      <c r="JKP32" s="17"/>
      <c r="JKQ32" s="17"/>
      <c r="JKR32" s="17"/>
      <c r="JKS32" s="17"/>
      <c r="JKT32" s="17"/>
      <c r="JKU32" s="17"/>
      <c r="JKV32" s="17"/>
      <c r="JKW32" s="17"/>
      <c r="JKX32" s="17"/>
      <c r="JKY32" s="17"/>
      <c r="JKZ32" s="17"/>
      <c r="JLA32" s="17"/>
      <c r="JLB32" s="17"/>
      <c r="JLC32" s="17"/>
      <c r="JLD32" s="17"/>
      <c r="JLE32" s="17"/>
      <c r="JLF32" s="17"/>
      <c r="JLG32" s="17"/>
      <c r="JLH32" s="17"/>
      <c r="JLI32" s="17"/>
      <c r="JLJ32" s="17"/>
      <c r="JLK32" s="17"/>
      <c r="JLL32" s="17"/>
      <c r="JLM32" s="17"/>
      <c r="JLN32" s="17"/>
      <c r="JLO32" s="17"/>
      <c r="JLP32" s="17"/>
      <c r="JLQ32" s="17"/>
      <c r="JLR32" s="17"/>
      <c r="JLS32" s="17"/>
      <c r="JLT32" s="17"/>
      <c r="JLU32" s="17"/>
      <c r="JLV32" s="17"/>
      <c r="JLW32" s="17"/>
      <c r="JLX32" s="17"/>
      <c r="JLY32" s="17"/>
      <c r="JLZ32" s="17"/>
      <c r="JMA32" s="17"/>
      <c r="JMB32" s="17"/>
      <c r="JMC32" s="17"/>
      <c r="JMD32" s="17"/>
      <c r="JME32" s="17"/>
      <c r="JMF32" s="17"/>
      <c r="JMG32" s="17"/>
      <c r="JMH32" s="17"/>
      <c r="JMI32" s="17"/>
      <c r="JMJ32" s="17"/>
      <c r="JMK32" s="17"/>
      <c r="JML32" s="17"/>
      <c r="JMM32" s="17"/>
      <c r="JMN32" s="17"/>
      <c r="JMO32" s="17"/>
      <c r="JMP32" s="17"/>
      <c r="JMQ32" s="17"/>
      <c r="JMR32" s="17"/>
      <c r="JMS32" s="17"/>
      <c r="JMT32" s="17"/>
      <c r="JMU32" s="17"/>
      <c r="JMV32" s="17"/>
      <c r="JMW32" s="17"/>
      <c r="JMX32" s="17"/>
      <c r="JMY32" s="17"/>
      <c r="JMZ32" s="17"/>
      <c r="JNA32" s="17"/>
      <c r="JNB32" s="17"/>
      <c r="JNC32" s="17"/>
      <c r="JND32" s="17"/>
      <c r="JNE32" s="17"/>
      <c r="JNF32" s="17"/>
      <c r="JNG32" s="17"/>
      <c r="JNH32" s="17"/>
      <c r="JNI32" s="17"/>
      <c r="JNJ32" s="17"/>
      <c r="JNK32" s="17"/>
      <c r="JNL32" s="17"/>
      <c r="JNM32" s="17"/>
      <c r="JNN32" s="17"/>
      <c r="JNO32" s="17"/>
      <c r="JNP32" s="17"/>
      <c r="JNQ32" s="17"/>
      <c r="JNR32" s="17"/>
      <c r="JNS32" s="17"/>
      <c r="JNT32" s="17"/>
      <c r="JNU32" s="17"/>
      <c r="JNV32" s="17"/>
      <c r="JNW32" s="17"/>
      <c r="JNX32" s="17"/>
      <c r="JNY32" s="17"/>
      <c r="JNZ32" s="17"/>
      <c r="JOA32" s="17"/>
      <c r="JOB32" s="17"/>
      <c r="JOC32" s="17"/>
      <c r="JOD32" s="17"/>
      <c r="JOE32" s="17"/>
      <c r="JOF32" s="17"/>
      <c r="JOG32" s="17"/>
      <c r="JOH32" s="17"/>
      <c r="JOI32" s="17"/>
      <c r="JOJ32" s="17"/>
      <c r="JOK32" s="17"/>
      <c r="JOL32" s="17"/>
      <c r="JOM32" s="17"/>
      <c r="JON32" s="17"/>
      <c r="JOO32" s="17"/>
      <c r="JOP32" s="17"/>
      <c r="JOQ32" s="17"/>
      <c r="JOR32" s="17"/>
      <c r="JOS32" s="17"/>
      <c r="JOT32" s="17"/>
      <c r="JOU32" s="17"/>
      <c r="JOV32" s="17"/>
      <c r="JOW32" s="17"/>
      <c r="JOX32" s="17"/>
      <c r="JOY32" s="17"/>
      <c r="JOZ32" s="17"/>
      <c r="JPA32" s="17"/>
      <c r="JPB32" s="17"/>
      <c r="JPC32" s="17"/>
      <c r="JPD32" s="17"/>
      <c r="JPE32" s="17"/>
      <c r="JPF32" s="17"/>
      <c r="JPG32" s="17"/>
      <c r="JPH32" s="17"/>
      <c r="JPI32" s="17"/>
      <c r="JPJ32" s="17"/>
      <c r="JPK32" s="17"/>
      <c r="JPL32" s="17"/>
      <c r="JPM32" s="17"/>
      <c r="JPN32" s="17"/>
      <c r="JPO32" s="17"/>
      <c r="JPP32" s="17"/>
      <c r="JPQ32" s="17"/>
      <c r="JPR32" s="17"/>
      <c r="JPS32" s="17"/>
      <c r="JPT32" s="17"/>
      <c r="JPU32" s="17"/>
      <c r="JPV32" s="17"/>
      <c r="JPW32" s="17"/>
      <c r="JPX32" s="17"/>
      <c r="JPY32" s="17"/>
      <c r="JPZ32" s="17"/>
      <c r="JQA32" s="17"/>
      <c r="JQB32" s="17"/>
      <c r="JQC32" s="17"/>
      <c r="JQD32" s="17"/>
      <c r="JQE32" s="17"/>
      <c r="JQF32" s="17"/>
      <c r="JQG32" s="17"/>
      <c r="JQH32" s="17"/>
      <c r="JQI32" s="17"/>
      <c r="JQJ32" s="17"/>
      <c r="JQK32" s="17"/>
      <c r="JQL32" s="17"/>
      <c r="JQM32" s="17"/>
      <c r="JQN32" s="17"/>
      <c r="JQO32" s="17"/>
      <c r="JQP32" s="17"/>
      <c r="JQQ32" s="17"/>
      <c r="JQR32" s="17"/>
      <c r="JQS32" s="17"/>
      <c r="JQT32" s="17"/>
      <c r="JQU32" s="17"/>
      <c r="JQV32" s="17"/>
      <c r="JQW32" s="17"/>
      <c r="JQX32" s="17"/>
      <c r="JQY32" s="17"/>
      <c r="JQZ32" s="17"/>
      <c r="JRA32" s="17"/>
      <c r="JRB32" s="17"/>
      <c r="JRC32" s="17"/>
      <c r="JRD32" s="17"/>
      <c r="JRE32" s="17"/>
      <c r="JRF32" s="17"/>
      <c r="JRG32" s="17"/>
      <c r="JRH32" s="17"/>
      <c r="JRI32" s="17"/>
      <c r="JRJ32" s="17"/>
      <c r="JRK32" s="17"/>
      <c r="JRL32" s="17"/>
      <c r="JRM32" s="17"/>
      <c r="JRN32" s="17"/>
      <c r="JRO32" s="17"/>
      <c r="JRP32" s="17"/>
      <c r="JRQ32" s="17"/>
      <c r="JRR32" s="17"/>
      <c r="JRS32" s="17"/>
      <c r="JRT32" s="17"/>
      <c r="JRU32" s="17"/>
      <c r="JRV32" s="17"/>
      <c r="JRW32" s="17"/>
      <c r="JRX32" s="17"/>
      <c r="JRY32" s="17"/>
      <c r="JRZ32" s="17"/>
      <c r="JSA32" s="17"/>
      <c r="JSB32" s="17"/>
      <c r="JSC32" s="17"/>
      <c r="JSD32" s="17"/>
      <c r="JSE32" s="17"/>
      <c r="JSF32" s="17"/>
      <c r="JSG32" s="17"/>
      <c r="JSH32" s="17"/>
      <c r="JSI32" s="17"/>
      <c r="JSJ32" s="17"/>
      <c r="JSK32" s="17"/>
      <c r="JSL32" s="17"/>
      <c r="JSM32" s="17"/>
      <c r="JSN32" s="17"/>
      <c r="JSO32" s="17"/>
      <c r="JSP32" s="17"/>
      <c r="JSQ32" s="17"/>
      <c r="JSR32" s="17"/>
      <c r="JSS32" s="17"/>
      <c r="JST32" s="17"/>
      <c r="JSU32" s="17"/>
      <c r="JSV32" s="17"/>
      <c r="JSW32" s="17"/>
      <c r="JSX32" s="17"/>
      <c r="JSY32" s="17"/>
      <c r="JSZ32" s="17"/>
      <c r="JTA32" s="17"/>
      <c r="JTB32" s="17"/>
      <c r="JTC32" s="17"/>
      <c r="JTD32" s="17"/>
      <c r="JTE32" s="17"/>
      <c r="JTF32" s="17"/>
      <c r="JTG32" s="17"/>
      <c r="JTH32" s="17"/>
      <c r="JTI32" s="17"/>
      <c r="JTJ32" s="17"/>
      <c r="JTK32" s="17"/>
      <c r="JTL32" s="17"/>
      <c r="JTM32" s="17"/>
      <c r="JTN32" s="17"/>
      <c r="JTO32" s="17"/>
      <c r="JTP32" s="17"/>
      <c r="JTQ32" s="17"/>
      <c r="JTR32" s="17"/>
      <c r="JTS32" s="17"/>
      <c r="JTT32" s="17"/>
      <c r="JTU32" s="17"/>
      <c r="JTV32" s="17"/>
      <c r="JTW32" s="17"/>
      <c r="JTX32" s="17"/>
      <c r="JTY32" s="17"/>
      <c r="JTZ32" s="17"/>
      <c r="JUA32" s="17"/>
      <c r="JUB32" s="17"/>
      <c r="JUC32" s="17"/>
      <c r="JUD32" s="17"/>
      <c r="JUE32" s="17"/>
      <c r="JUF32" s="17"/>
      <c r="JUG32" s="17"/>
      <c r="JUH32" s="17"/>
      <c r="JUI32" s="17"/>
      <c r="JUJ32" s="17"/>
      <c r="JUK32" s="17"/>
      <c r="JUL32" s="17"/>
      <c r="JUM32" s="17"/>
      <c r="JUN32" s="17"/>
      <c r="JUO32" s="17"/>
      <c r="JUP32" s="17"/>
      <c r="JUQ32" s="17"/>
      <c r="JUR32" s="17"/>
      <c r="JUS32" s="17"/>
      <c r="JUT32" s="17"/>
      <c r="JUU32" s="17"/>
      <c r="JUV32" s="17"/>
      <c r="JUW32" s="17"/>
      <c r="JUX32" s="17"/>
      <c r="JUY32" s="17"/>
      <c r="JUZ32" s="17"/>
      <c r="JVA32" s="17"/>
      <c r="JVB32" s="17"/>
      <c r="JVC32" s="17"/>
      <c r="JVD32" s="17"/>
      <c r="JVE32" s="17"/>
      <c r="JVF32" s="17"/>
      <c r="JVG32" s="17"/>
      <c r="JVH32" s="17"/>
      <c r="JVI32" s="17"/>
      <c r="JVJ32" s="17"/>
      <c r="JVK32" s="17"/>
      <c r="JVL32" s="17"/>
      <c r="JVM32" s="17"/>
      <c r="JVN32" s="17"/>
      <c r="JVO32" s="17"/>
      <c r="JVP32" s="17"/>
      <c r="JVQ32" s="17"/>
      <c r="JVR32" s="17"/>
      <c r="JVS32" s="17"/>
      <c r="JVT32" s="17"/>
      <c r="JVU32" s="17"/>
      <c r="JVV32" s="17"/>
      <c r="JVW32" s="17"/>
      <c r="JVX32" s="17"/>
      <c r="JVY32" s="17"/>
      <c r="JVZ32" s="17"/>
      <c r="JWA32" s="17"/>
      <c r="JWB32" s="17"/>
      <c r="JWC32" s="17"/>
      <c r="JWD32" s="17"/>
      <c r="JWE32" s="17"/>
      <c r="JWF32" s="17"/>
      <c r="JWG32" s="17"/>
      <c r="JWH32" s="17"/>
      <c r="JWI32" s="17"/>
      <c r="JWJ32" s="17"/>
      <c r="JWK32" s="17"/>
      <c r="JWL32" s="17"/>
      <c r="JWM32" s="17"/>
      <c r="JWN32" s="17"/>
      <c r="JWO32" s="17"/>
      <c r="JWP32" s="17"/>
      <c r="JWQ32" s="17"/>
      <c r="JWR32" s="17"/>
      <c r="JWS32" s="17"/>
      <c r="JWT32" s="17"/>
      <c r="JWU32" s="17"/>
      <c r="JWV32" s="17"/>
      <c r="JWW32" s="17"/>
      <c r="JWX32" s="17"/>
      <c r="JWY32" s="17"/>
      <c r="JWZ32" s="17"/>
      <c r="JXA32" s="17"/>
      <c r="JXB32" s="17"/>
      <c r="JXC32" s="17"/>
      <c r="JXD32" s="17"/>
      <c r="JXE32" s="17"/>
      <c r="JXF32" s="17"/>
      <c r="JXG32" s="17"/>
      <c r="JXH32" s="17"/>
      <c r="JXI32" s="17"/>
      <c r="JXJ32" s="17"/>
      <c r="JXK32" s="17"/>
      <c r="JXL32" s="17"/>
      <c r="JXM32" s="17"/>
      <c r="JXN32" s="17"/>
      <c r="JXO32" s="17"/>
      <c r="JXP32" s="17"/>
      <c r="JXQ32" s="17"/>
      <c r="JXR32" s="17"/>
      <c r="JXS32" s="17"/>
      <c r="JXT32" s="17"/>
      <c r="JXU32" s="17"/>
      <c r="JXV32" s="17"/>
      <c r="JXW32" s="17"/>
      <c r="JXX32" s="17"/>
      <c r="JXY32" s="17"/>
      <c r="JXZ32" s="17"/>
      <c r="JYA32" s="17"/>
      <c r="JYB32" s="17"/>
      <c r="JYC32" s="17"/>
      <c r="JYD32" s="17"/>
      <c r="JYE32" s="17"/>
      <c r="JYF32" s="17"/>
      <c r="JYG32" s="17"/>
      <c r="JYH32" s="17"/>
      <c r="JYI32" s="17"/>
      <c r="JYJ32" s="17"/>
      <c r="JYK32" s="17"/>
      <c r="JYL32" s="17"/>
      <c r="JYM32" s="17"/>
      <c r="JYN32" s="17"/>
      <c r="JYO32" s="17"/>
      <c r="JYP32" s="17"/>
      <c r="JYQ32" s="17"/>
      <c r="JYR32" s="17"/>
      <c r="JYS32" s="17"/>
      <c r="JYT32" s="17"/>
      <c r="JYU32" s="17"/>
      <c r="JYV32" s="17"/>
      <c r="JYW32" s="17"/>
      <c r="JYX32" s="17"/>
      <c r="JYY32" s="17"/>
      <c r="JYZ32" s="17"/>
      <c r="JZA32" s="17"/>
      <c r="JZB32" s="17"/>
      <c r="JZC32" s="17"/>
      <c r="JZD32" s="17"/>
      <c r="JZE32" s="17"/>
      <c r="JZF32" s="17"/>
      <c r="JZG32" s="17"/>
      <c r="JZH32" s="17"/>
      <c r="JZI32" s="17"/>
      <c r="JZJ32" s="17"/>
      <c r="JZK32" s="17"/>
      <c r="JZL32" s="17"/>
      <c r="JZM32" s="17"/>
      <c r="JZN32" s="17"/>
      <c r="JZO32" s="17"/>
      <c r="JZP32" s="17"/>
      <c r="JZQ32" s="17"/>
      <c r="JZR32" s="17"/>
      <c r="JZS32" s="17"/>
      <c r="JZT32" s="17"/>
      <c r="JZU32" s="17"/>
      <c r="JZV32" s="17"/>
      <c r="JZW32" s="17"/>
      <c r="JZX32" s="17"/>
      <c r="JZY32" s="17"/>
      <c r="JZZ32" s="17"/>
      <c r="KAA32" s="17"/>
      <c r="KAB32" s="17"/>
      <c r="KAC32" s="17"/>
      <c r="KAD32" s="17"/>
      <c r="KAE32" s="17"/>
      <c r="KAF32" s="17"/>
      <c r="KAG32" s="17"/>
      <c r="KAH32" s="17"/>
      <c r="KAI32" s="17"/>
      <c r="KAJ32" s="17"/>
      <c r="KAK32" s="17"/>
      <c r="KAL32" s="17"/>
      <c r="KAM32" s="17"/>
      <c r="KAN32" s="17"/>
      <c r="KAO32" s="17"/>
      <c r="KAP32" s="17"/>
      <c r="KAQ32" s="17"/>
      <c r="KAR32" s="17"/>
      <c r="KAS32" s="17"/>
      <c r="KAT32" s="17"/>
      <c r="KAU32" s="17"/>
      <c r="KAV32" s="17"/>
      <c r="KAW32" s="17"/>
      <c r="KAX32" s="17"/>
      <c r="KAY32" s="17"/>
      <c r="KAZ32" s="17"/>
      <c r="KBA32" s="17"/>
      <c r="KBB32" s="17"/>
      <c r="KBC32" s="17"/>
      <c r="KBD32" s="17"/>
      <c r="KBE32" s="17"/>
      <c r="KBF32" s="17"/>
      <c r="KBG32" s="17"/>
      <c r="KBH32" s="17"/>
      <c r="KBI32" s="17"/>
      <c r="KBJ32" s="17"/>
      <c r="KBK32" s="17"/>
      <c r="KBL32" s="17"/>
      <c r="KBM32" s="17"/>
      <c r="KBN32" s="17"/>
      <c r="KBO32" s="17"/>
      <c r="KBP32" s="17"/>
      <c r="KBQ32" s="17"/>
      <c r="KBR32" s="17"/>
      <c r="KBS32" s="17"/>
      <c r="KBT32" s="17"/>
      <c r="KBU32" s="17"/>
      <c r="KBV32" s="17"/>
      <c r="KBW32" s="17"/>
      <c r="KBX32" s="17"/>
      <c r="KBY32" s="17"/>
      <c r="KBZ32" s="17"/>
      <c r="KCA32" s="17"/>
      <c r="KCB32" s="17"/>
      <c r="KCC32" s="17"/>
      <c r="KCD32" s="17"/>
      <c r="KCE32" s="17"/>
      <c r="KCF32" s="17"/>
      <c r="KCG32" s="17"/>
      <c r="KCH32" s="17"/>
      <c r="KCI32" s="17"/>
      <c r="KCJ32" s="17"/>
      <c r="KCK32" s="17"/>
      <c r="KCL32" s="17"/>
      <c r="KCM32" s="17"/>
      <c r="KCN32" s="17"/>
      <c r="KCO32" s="17"/>
      <c r="KCP32" s="17"/>
      <c r="KCQ32" s="17"/>
      <c r="KCR32" s="17"/>
      <c r="KCS32" s="17"/>
      <c r="KCT32" s="17"/>
      <c r="KCU32" s="17"/>
      <c r="KCV32" s="17"/>
      <c r="KCW32" s="17"/>
      <c r="KCX32" s="17"/>
      <c r="KCY32" s="17"/>
      <c r="KCZ32" s="17"/>
      <c r="KDA32" s="17"/>
      <c r="KDB32" s="17"/>
      <c r="KDC32" s="17"/>
      <c r="KDD32" s="17"/>
      <c r="KDE32" s="17"/>
      <c r="KDF32" s="17"/>
      <c r="KDG32" s="17"/>
      <c r="KDH32" s="17"/>
      <c r="KDI32" s="17"/>
      <c r="KDJ32" s="17"/>
      <c r="KDK32" s="17"/>
      <c r="KDL32" s="17"/>
      <c r="KDM32" s="17"/>
      <c r="KDN32" s="17"/>
      <c r="KDO32" s="17"/>
      <c r="KDP32" s="17"/>
      <c r="KDQ32" s="17"/>
      <c r="KDR32" s="17"/>
      <c r="KDS32" s="17"/>
      <c r="KDT32" s="17"/>
      <c r="KDU32" s="17"/>
      <c r="KDV32" s="17"/>
      <c r="KDW32" s="17"/>
      <c r="KDX32" s="17"/>
      <c r="KDY32" s="17"/>
      <c r="KDZ32" s="17"/>
      <c r="KEA32" s="17"/>
      <c r="KEB32" s="17"/>
      <c r="KEC32" s="17"/>
      <c r="KED32" s="17"/>
      <c r="KEE32" s="17"/>
      <c r="KEF32" s="17"/>
      <c r="KEG32" s="17"/>
      <c r="KEH32" s="17"/>
      <c r="KEI32" s="17"/>
      <c r="KEJ32" s="17"/>
      <c r="KEK32" s="17"/>
      <c r="KEL32" s="17"/>
      <c r="KEM32" s="17"/>
      <c r="KEN32" s="17"/>
      <c r="KEO32" s="17"/>
      <c r="KEP32" s="17"/>
      <c r="KEQ32" s="17"/>
      <c r="KER32" s="17"/>
      <c r="KES32" s="17"/>
      <c r="KET32" s="17"/>
      <c r="KEU32" s="17"/>
      <c r="KEV32" s="17"/>
      <c r="KEW32" s="17"/>
      <c r="KEX32" s="17"/>
      <c r="KEY32" s="17"/>
      <c r="KEZ32" s="17"/>
      <c r="KFA32" s="17"/>
      <c r="KFB32" s="17"/>
      <c r="KFC32" s="17"/>
      <c r="KFD32" s="17"/>
      <c r="KFE32" s="17"/>
      <c r="KFF32" s="17"/>
      <c r="KFG32" s="17"/>
      <c r="KFH32" s="17"/>
      <c r="KFI32" s="17"/>
      <c r="KFJ32" s="17"/>
      <c r="KFK32" s="17"/>
      <c r="KFL32" s="17"/>
      <c r="KFM32" s="17"/>
      <c r="KFN32" s="17"/>
      <c r="KFO32" s="17"/>
      <c r="KFP32" s="17"/>
      <c r="KFQ32" s="17"/>
      <c r="KFR32" s="17"/>
      <c r="KFS32" s="17"/>
      <c r="KFT32" s="17"/>
      <c r="KFU32" s="17"/>
      <c r="KFV32" s="17"/>
      <c r="KFW32" s="17"/>
      <c r="KFX32" s="17"/>
      <c r="KFY32" s="17"/>
      <c r="KFZ32" s="17"/>
      <c r="KGA32" s="17"/>
      <c r="KGB32" s="17"/>
      <c r="KGC32" s="17"/>
      <c r="KGD32" s="17"/>
      <c r="KGE32" s="17"/>
      <c r="KGF32" s="17"/>
      <c r="KGG32" s="17"/>
      <c r="KGH32" s="17"/>
      <c r="KGI32" s="17"/>
      <c r="KGJ32" s="17"/>
      <c r="KGK32" s="17"/>
      <c r="KGL32" s="17"/>
      <c r="KGM32" s="17"/>
      <c r="KGN32" s="17"/>
      <c r="KGO32" s="17"/>
      <c r="KGP32" s="17"/>
      <c r="KGQ32" s="17"/>
      <c r="KGR32" s="17"/>
      <c r="KGS32" s="17"/>
      <c r="KGT32" s="17"/>
      <c r="KGU32" s="17"/>
      <c r="KGV32" s="17"/>
      <c r="KGW32" s="17"/>
      <c r="KGX32" s="17"/>
      <c r="KGY32" s="17"/>
      <c r="KGZ32" s="17"/>
      <c r="KHA32" s="17"/>
      <c r="KHB32" s="17"/>
      <c r="KHC32" s="17"/>
      <c r="KHD32" s="17"/>
      <c r="KHE32" s="17"/>
      <c r="KHF32" s="17"/>
      <c r="KHG32" s="17"/>
      <c r="KHH32" s="17"/>
      <c r="KHI32" s="17"/>
      <c r="KHJ32" s="17"/>
      <c r="KHK32" s="17"/>
      <c r="KHL32" s="17"/>
      <c r="KHM32" s="17"/>
      <c r="KHN32" s="17"/>
      <c r="KHO32" s="17"/>
      <c r="KHP32" s="17"/>
      <c r="KHQ32" s="17"/>
      <c r="KHR32" s="17"/>
      <c r="KHS32" s="17"/>
      <c r="KHT32" s="17"/>
      <c r="KHU32" s="17"/>
      <c r="KHV32" s="17"/>
      <c r="KHW32" s="17"/>
      <c r="KHX32" s="17"/>
      <c r="KHY32" s="17"/>
      <c r="KHZ32" s="17"/>
      <c r="KIA32" s="17"/>
      <c r="KIB32" s="17"/>
      <c r="KIC32" s="17"/>
      <c r="KID32" s="17"/>
      <c r="KIE32" s="17"/>
      <c r="KIF32" s="17"/>
      <c r="KIG32" s="17"/>
      <c r="KIH32" s="17"/>
      <c r="KII32" s="17"/>
      <c r="KIJ32" s="17"/>
      <c r="KIK32" s="17"/>
      <c r="KIL32" s="17"/>
      <c r="KIM32" s="17"/>
      <c r="KIN32" s="17"/>
      <c r="KIO32" s="17"/>
      <c r="KIP32" s="17"/>
      <c r="KIQ32" s="17"/>
      <c r="KIR32" s="17"/>
      <c r="KIS32" s="17"/>
      <c r="KIT32" s="17"/>
      <c r="KIU32" s="17"/>
      <c r="KIV32" s="17"/>
      <c r="KIW32" s="17"/>
      <c r="KIX32" s="17"/>
      <c r="KIY32" s="17"/>
      <c r="KIZ32" s="17"/>
      <c r="KJA32" s="17"/>
      <c r="KJB32" s="17"/>
      <c r="KJC32" s="17"/>
      <c r="KJD32" s="17"/>
      <c r="KJE32" s="17"/>
      <c r="KJF32" s="17"/>
      <c r="KJG32" s="17"/>
      <c r="KJH32" s="17"/>
      <c r="KJI32" s="17"/>
      <c r="KJJ32" s="17"/>
      <c r="KJK32" s="17"/>
      <c r="KJL32" s="17"/>
      <c r="KJM32" s="17"/>
      <c r="KJN32" s="17"/>
      <c r="KJO32" s="17"/>
      <c r="KJP32" s="17"/>
      <c r="KJQ32" s="17"/>
      <c r="KJR32" s="17"/>
      <c r="KJS32" s="17"/>
      <c r="KJT32" s="17"/>
      <c r="KJU32" s="17"/>
      <c r="KJV32" s="17"/>
      <c r="KJW32" s="17"/>
      <c r="KJX32" s="17"/>
      <c r="KJY32" s="17"/>
      <c r="KJZ32" s="17"/>
      <c r="KKA32" s="17"/>
      <c r="KKB32" s="17"/>
      <c r="KKC32" s="17"/>
      <c r="KKD32" s="17"/>
      <c r="KKE32" s="17"/>
      <c r="KKF32" s="17"/>
      <c r="KKG32" s="17"/>
      <c r="KKH32" s="17"/>
      <c r="KKI32" s="17"/>
      <c r="KKJ32" s="17"/>
      <c r="KKK32" s="17"/>
      <c r="KKL32" s="17"/>
      <c r="KKM32" s="17"/>
      <c r="KKN32" s="17"/>
      <c r="KKO32" s="17"/>
      <c r="KKP32" s="17"/>
      <c r="KKQ32" s="17"/>
      <c r="KKR32" s="17"/>
      <c r="KKS32" s="17"/>
      <c r="KKT32" s="17"/>
      <c r="KKU32" s="17"/>
      <c r="KKV32" s="17"/>
      <c r="KKW32" s="17"/>
      <c r="KKX32" s="17"/>
      <c r="KKY32" s="17"/>
      <c r="KKZ32" s="17"/>
      <c r="KLA32" s="17"/>
      <c r="KLB32" s="17"/>
      <c r="KLC32" s="17"/>
      <c r="KLD32" s="17"/>
      <c r="KLE32" s="17"/>
      <c r="KLF32" s="17"/>
      <c r="KLG32" s="17"/>
      <c r="KLH32" s="17"/>
      <c r="KLI32" s="17"/>
      <c r="KLJ32" s="17"/>
      <c r="KLK32" s="17"/>
      <c r="KLL32" s="17"/>
      <c r="KLM32" s="17"/>
      <c r="KLN32" s="17"/>
      <c r="KLO32" s="17"/>
      <c r="KLP32" s="17"/>
      <c r="KLQ32" s="17"/>
      <c r="KLR32" s="17"/>
      <c r="KLS32" s="17"/>
      <c r="KLT32" s="17"/>
      <c r="KLU32" s="17"/>
      <c r="KLV32" s="17"/>
      <c r="KLW32" s="17"/>
      <c r="KLX32" s="17"/>
      <c r="KLY32" s="17"/>
      <c r="KLZ32" s="17"/>
      <c r="KMA32" s="17"/>
      <c r="KMB32" s="17"/>
      <c r="KMC32" s="17"/>
      <c r="KMD32" s="17"/>
      <c r="KME32" s="17"/>
      <c r="KMF32" s="17"/>
      <c r="KMG32" s="17"/>
      <c r="KMH32" s="17"/>
      <c r="KMI32" s="17"/>
      <c r="KMJ32" s="17"/>
      <c r="KMK32" s="17"/>
      <c r="KML32" s="17"/>
      <c r="KMM32" s="17"/>
      <c r="KMN32" s="17"/>
      <c r="KMO32" s="17"/>
      <c r="KMP32" s="17"/>
      <c r="KMQ32" s="17"/>
      <c r="KMR32" s="17"/>
      <c r="KMS32" s="17"/>
      <c r="KMT32" s="17"/>
      <c r="KMU32" s="17"/>
      <c r="KMV32" s="17"/>
      <c r="KMW32" s="17"/>
      <c r="KMX32" s="17"/>
      <c r="KMY32" s="17"/>
      <c r="KMZ32" s="17"/>
      <c r="KNA32" s="17"/>
      <c r="KNB32" s="17"/>
      <c r="KNC32" s="17"/>
      <c r="KND32" s="17"/>
      <c r="KNE32" s="17"/>
      <c r="KNF32" s="17"/>
      <c r="KNG32" s="17"/>
      <c r="KNH32" s="17"/>
      <c r="KNI32" s="17"/>
      <c r="KNJ32" s="17"/>
      <c r="KNK32" s="17"/>
      <c r="KNL32" s="17"/>
      <c r="KNM32" s="17"/>
      <c r="KNN32" s="17"/>
      <c r="KNO32" s="17"/>
      <c r="KNP32" s="17"/>
      <c r="KNQ32" s="17"/>
      <c r="KNR32" s="17"/>
      <c r="KNS32" s="17"/>
      <c r="KNT32" s="17"/>
      <c r="KNU32" s="17"/>
      <c r="KNV32" s="17"/>
      <c r="KNW32" s="17"/>
      <c r="KNX32" s="17"/>
      <c r="KNY32" s="17"/>
      <c r="KNZ32" s="17"/>
      <c r="KOA32" s="17"/>
      <c r="KOB32" s="17"/>
      <c r="KOC32" s="17"/>
      <c r="KOD32" s="17"/>
      <c r="KOE32" s="17"/>
      <c r="KOF32" s="17"/>
      <c r="KOG32" s="17"/>
      <c r="KOH32" s="17"/>
      <c r="KOI32" s="17"/>
      <c r="KOJ32" s="17"/>
      <c r="KOK32" s="17"/>
      <c r="KOL32" s="17"/>
      <c r="KOM32" s="17"/>
      <c r="KON32" s="17"/>
      <c r="KOO32" s="17"/>
      <c r="KOP32" s="17"/>
      <c r="KOQ32" s="17"/>
      <c r="KOR32" s="17"/>
      <c r="KOS32" s="17"/>
      <c r="KOT32" s="17"/>
      <c r="KOU32" s="17"/>
      <c r="KOV32" s="17"/>
      <c r="KOW32" s="17"/>
      <c r="KOX32" s="17"/>
      <c r="KOY32" s="17"/>
      <c r="KOZ32" s="17"/>
      <c r="KPA32" s="17"/>
      <c r="KPB32" s="17"/>
      <c r="KPC32" s="17"/>
      <c r="KPD32" s="17"/>
      <c r="KPE32" s="17"/>
      <c r="KPF32" s="17"/>
      <c r="KPG32" s="17"/>
      <c r="KPH32" s="17"/>
      <c r="KPI32" s="17"/>
      <c r="KPJ32" s="17"/>
      <c r="KPK32" s="17"/>
      <c r="KPL32" s="17"/>
      <c r="KPM32" s="17"/>
      <c r="KPN32" s="17"/>
      <c r="KPO32" s="17"/>
      <c r="KPP32" s="17"/>
      <c r="KPQ32" s="17"/>
      <c r="KPR32" s="17"/>
      <c r="KPS32" s="17"/>
      <c r="KPT32" s="17"/>
      <c r="KPU32" s="17"/>
      <c r="KPV32" s="17"/>
      <c r="KPW32" s="17"/>
      <c r="KPX32" s="17"/>
      <c r="KPY32" s="17"/>
      <c r="KPZ32" s="17"/>
      <c r="KQA32" s="17"/>
      <c r="KQB32" s="17"/>
      <c r="KQC32" s="17"/>
      <c r="KQD32" s="17"/>
      <c r="KQE32" s="17"/>
      <c r="KQF32" s="17"/>
      <c r="KQG32" s="17"/>
      <c r="KQH32" s="17"/>
      <c r="KQI32" s="17"/>
      <c r="KQJ32" s="17"/>
      <c r="KQK32" s="17"/>
      <c r="KQL32" s="17"/>
      <c r="KQM32" s="17"/>
      <c r="KQN32" s="17"/>
      <c r="KQO32" s="17"/>
      <c r="KQP32" s="17"/>
      <c r="KQQ32" s="17"/>
      <c r="KQR32" s="17"/>
      <c r="KQS32" s="17"/>
      <c r="KQT32" s="17"/>
      <c r="KQU32" s="17"/>
      <c r="KQV32" s="17"/>
      <c r="KQW32" s="17"/>
      <c r="KQX32" s="17"/>
      <c r="KQY32" s="17"/>
      <c r="KQZ32" s="17"/>
      <c r="KRA32" s="17"/>
      <c r="KRB32" s="17"/>
      <c r="KRC32" s="17"/>
      <c r="KRD32" s="17"/>
      <c r="KRE32" s="17"/>
      <c r="KRF32" s="17"/>
      <c r="KRG32" s="17"/>
      <c r="KRH32" s="17"/>
      <c r="KRI32" s="17"/>
      <c r="KRJ32" s="17"/>
      <c r="KRK32" s="17"/>
      <c r="KRL32" s="17"/>
      <c r="KRM32" s="17"/>
      <c r="KRN32" s="17"/>
      <c r="KRO32" s="17"/>
      <c r="KRP32" s="17"/>
      <c r="KRQ32" s="17"/>
      <c r="KRR32" s="17"/>
      <c r="KRS32" s="17"/>
      <c r="KRT32" s="17"/>
      <c r="KRU32" s="17"/>
      <c r="KRV32" s="17"/>
      <c r="KRW32" s="17"/>
      <c r="KRX32" s="17"/>
      <c r="KRY32" s="17"/>
      <c r="KRZ32" s="17"/>
      <c r="KSA32" s="17"/>
      <c r="KSB32" s="17"/>
      <c r="KSC32" s="17"/>
      <c r="KSD32" s="17"/>
      <c r="KSE32" s="17"/>
      <c r="KSF32" s="17"/>
      <c r="KSG32" s="17"/>
      <c r="KSH32" s="17"/>
      <c r="KSI32" s="17"/>
      <c r="KSJ32" s="17"/>
      <c r="KSK32" s="17"/>
      <c r="KSL32" s="17"/>
      <c r="KSM32" s="17"/>
      <c r="KSN32" s="17"/>
      <c r="KSO32" s="17"/>
      <c r="KSP32" s="17"/>
      <c r="KSQ32" s="17"/>
      <c r="KSR32" s="17"/>
      <c r="KSS32" s="17"/>
      <c r="KST32" s="17"/>
      <c r="KSU32" s="17"/>
      <c r="KSV32" s="17"/>
      <c r="KSW32" s="17"/>
      <c r="KSX32" s="17"/>
      <c r="KSY32" s="17"/>
      <c r="KSZ32" s="17"/>
      <c r="KTA32" s="17"/>
      <c r="KTB32" s="17"/>
      <c r="KTC32" s="17"/>
      <c r="KTD32" s="17"/>
      <c r="KTE32" s="17"/>
      <c r="KTF32" s="17"/>
      <c r="KTG32" s="17"/>
      <c r="KTH32" s="17"/>
      <c r="KTI32" s="17"/>
      <c r="KTJ32" s="17"/>
      <c r="KTK32" s="17"/>
      <c r="KTL32" s="17"/>
      <c r="KTM32" s="17"/>
      <c r="KTN32" s="17"/>
      <c r="KTO32" s="17"/>
      <c r="KTP32" s="17"/>
      <c r="KTQ32" s="17"/>
      <c r="KTR32" s="17"/>
      <c r="KTS32" s="17"/>
      <c r="KTT32" s="17"/>
      <c r="KTU32" s="17"/>
      <c r="KTV32" s="17"/>
      <c r="KTW32" s="17"/>
      <c r="KTX32" s="17"/>
      <c r="KTY32" s="17"/>
      <c r="KTZ32" s="17"/>
      <c r="KUA32" s="17"/>
      <c r="KUB32" s="17"/>
      <c r="KUC32" s="17"/>
      <c r="KUD32" s="17"/>
      <c r="KUE32" s="17"/>
      <c r="KUF32" s="17"/>
      <c r="KUG32" s="17"/>
      <c r="KUH32" s="17"/>
      <c r="KUI32" s="17"/>
      <c r="KUJ32" s="17"/>
      <c r="KUK32" s="17"/>
      <c r="KUL32" s="17"/>
      <c r="KUM32" s="17"/>
      <c r="KUN32" s="17"/>
      <c r="KUO32" s="17"/>
      <c r="KUP32" s="17"/>
      <c r="KUQ32" s="17"/>
      <c r="KUR32" s="17"/>
      <c r="KUS32" s="17"/>
      <c r="KUT32" s="17"/>
      <c r="KUU32" s="17"/>
      <c r="KUV32" s="17"/>
      <c r="KUW32" s="17"/>
      <c r="KUX32" s="17"/>
      <c r="KUY32" s="17"/>
      <c r="KUZ32" s="17"/>
      <c r="KVA32" s="17"/>
      <c r="KVB32" s="17"/>
      <c r="KVC32" s="17"/>
      <c r="KVD32" s="17"/>
      <c r="KVE32" s="17"/>
      <c r="KVF32" s="17"/>
      <c r="KVG32" s="17"/>
      <c r="KVH32" s="17"/>
      <c r="KVI32" s="17"/>
      <c r="KVJ32" s="17"/>
      <c r="KVK32" s="17"/>
      <c r="KVL32" s="17"/>
      <c r="KVM32" s="17"/>
      <c r="KVN32" s="17"/>
      <c r="KVO32" s="17"/>
      <c r="KVP32" s="17"/>
      <c r="KVQ32" s="17"/>
      <c r="KVR32" s="17"/>
      <c r="KVS32" s="17"/>
      <c r="KVT32" s="17"/>
      <c r="KVU32" s="17"/>
      <c r="KVV32" s="17"/>
      <c r="KVW32" s="17"/>
      <c r="KVX32" s="17"/>
      <c r="KVY32" s="17"/>
      <c r="KVZ32" s="17"/>
      <c r="KWA32" s="17"/>
      <c r="KWB32" s="17"/>
      <c r="KWC32" s="17"/>
      <c r="KWD32" s="17"/>
      <c r="KWE32" s="17"/>
      <c r="KWF32" s="17"/>
      <c r="KWG32" s="17"/>
      <c r="KWH32" s="17"/>
      <c r="KWI32" s="17"/>
      <c r="KWJ32" s="17"/>
      <c r="KWK32" s="17"/>
      <c r="KWL32" s="17"/>
      <c r="KWM32" s="17"/>
      <c r="KWN32" s="17"/>
      <c r="KWO32" s="17"/>
      <c r="KWP32" s="17"/>
      <c r="KWQ32" s="17"/>
      <c r="KWR32" s="17"/>
      <c r="KWS32" s="17"/>
      <c r="KWT32" s="17"/>
      <c r="KWU32" s="17"/>
      <c r="KWV32" s="17"/>
      <c r="KWW32" s="17"/>
      <c r="KWX32" s="17"/>
      <c r="KWY32" s="17"/>
      <c r="KWZ32" s="17"/>
      <c r="KXA32" s="17"/>
      <c r="KXB32" s="17"/>
      <c r="KXC32" s="17"/>
      <c r="KXD32" s="17"/>
      <c r="KXE32" s="17"/>
      <c r="KXF32" s="17"/>
      <c r="KXG32" s="17"/>
      <c r="KXH32" s="17"/>
      <c r="KXI32" s="17"/>
      <c r="KXJ32" s="17"/>
      <c r="KXK32" s="17"/>
      <c r="KXL32" s="17"/>
      <c r="KXM32" s="17"/>
      <c r="KXN32" s="17"/>
      <c r="KXO32" s="17"/>
      <c r="KXP32" s="17"/>
      <c r="KXQ32" s="17"/>
      <c r="KXR32" s="17"/>
      <c r="KXS32" s="17"/>
      <c r="KXT32" s="17"/>
      <c r="KXU32" s="17"/>
      <c r="KXV32" s="17"/>
      <c r="KXW32" s="17"/>
      <c r="KXX32" s="17"/>
      <c r="KXY32" s="17"/>
      <c r="KXZ32" s="17"/>
      <c r="KYA32" s="17"/>
      <c r="KYB32" s="17"/>
      <c r="KYC32" s="17"/>
      <c r="KYD32" s="17"/>
      <c r="KYE32" s="17"/>
      <c r="KYF32" s="17"/>
      <c r="KYG32" s="17"/>
      <c r="KYH32" s="17"/>
      <c r="KYI32" s="17"/>
      <c r="KYJ32" s="17"/>
      <c r="KYK32" s="17"/>
      <c r="KYL32" s="17"/>
      <c r="KYM32" s="17"/>
      <c r="KYN32" s="17"/>
      <c r="KYO32" s="17"/>
      <c r="KYP32" s="17"/>
      <c r="KYQ32" s="17"/>
      <c r="KYR32" s="17"/>
      <c r="KYS32" s="17"/>
      <c r="KYT32" s="17"/>
      <c r="KYU32" s="17"/>
      <c r="KYV32" s="17"/>
      <c r="KYW32" s="17"/>
      <c r="KYX32" s="17"/>
      <c r="KYY32" s="17"/>
      <c r="KYZ32" s="17"/>
      <c r="KZA32" s="17"/>
      <c r="KZB32" s="17"/>
      <c r="KZC32" s="17"/>
      <c r="KZD32" s="17"/>
      <c r="KZE32" s="17"/>
      <c r="KZF32" s="17"/>
      <c r="KZG32" s="17"/>
      <c r="KZH32" s="17"/>
      <c r="KZI32" s="17"/>
      <c r="KZJ32" s="17"/>
      <c r="KZK32" s="17"/>
      <c r="KZL32" s="17"/>
      <c r="KZM32" s="17"/>
      <c r="KZN32" s="17"/>
      <c r="KZO32" s="17"/>
      <c r="KZP32" s="17"/>
      <c r="KZQ32" s="17"/>
      <c r="KZR32" s="17"/>
      <c r="KZS32" s="17"/>
      <c r="KZT32" s="17"/>
      <c r="KZU32" s="17"/>
      <c r="KZV32" s="17"/>
      <c r="KZW32" s="17"/>
      <c r="KZX32" s="17"/>
      <c r="KZY32" s="17"/>
      <c r="KZZ32" s="17"/>
      <c r="LAA32" s="17"/>
      <c r="LAB32" s="17"/>
      <c r="LAC32" s="17"/>
      <c r="LAD32" s="17"/>
      <c r="LAE32" s="17"/>
      <c r="LAF32" s="17"/>
      <c r="LAG32" s="17"/>
      <c r="LAH32" s="17"/>
      <c r="LAI32" s="17"/>
      <c r="LAJ32" s="17"/>
      <c r="LAK32" s="17"/>
      <c r="LAL32" s="17"/>
      <c r="LAM32" s="17"/>
      <c r="LAN32" s="17"/>
      <c r="LAO32" s="17"/>
      <c r="LAP32" s="17"/>
      <c r="LAQ32" s="17"/>
      <c r="LAR32" s="17"/>
      <c r="LAS32" s="17"/>
      <c r="LAT32" s="17"/>
      <c r="LAU32" s="17"/>
      <c r="LAV32" s="17"/>
      <c r="LAW32" s="17"/>
      <c r="LAX32" s="17"/>
      <c r="LAY32" s="17"/>
      <c r="LAZ32" s="17"/>
      <c r="LBA32" s="17"/>
      <c r="LBB32" s="17"/>
      <c r="LBC32" s="17"/>
      <c r="LBD32" s="17"/>
      <c r="LBE32" s="17"/>
      <c r="LBF32" s="17"/>
      <c r="LBG32" s="17"/>
      <c r="LBH32" s="17"/>
      <c r="LBI32" s="17"/>
      <c r="LBJ32" s="17"/>
      <c r="LBK32" s="17"/>
      <c r="LBL32" s="17"/>
      <c r="LBM32" s="17"/>
      <c r="LBN32" s="17"/>
      <c r="LBO32" s="17"/>
      <c r="LBP32" s="17"/>
      <c r="LBQ32" s="17"/>
      <c r="LBR32" s="17"/>
      <c r="LBS32" s="17"/>
      <c r="LBT32" s="17"/>
      <c r="LBU32" s="17"/>
      <c r="LBV32" s="17"/>
      <c r="LBW32" s="17"/>
      <c r="LBX32" s="17"/>
      <c r="LBY32" s="17"/>
      <c r="LBZ32" s="17"/>
      <c r="LCA32" s="17"/>
      <c r="LCB32" s="17"/>
      <c r="LCC32" s="17"/>
      <c r="LCD32" s="17"/>
      <c r="LCE32" s="17"/>
      <c r="LCF32" s="17"/>
      <c r="LCG32" s="17"/>
      <c r="LCH32" s="17"/>
      <c r="LCI32" s="17"/>
      <c r="LCJ32" s="17"/>
      <c r="LCK32" s="17"/>
      <c r="LCL32" s="17"/>
      <c r="LCM32" s="17"/>
      <c r="LCN32" s="17"/>
      <c r="LCO32" s="17"/>
      <c r="LCP32" s="17"/>
      <c r="LCQ32" s="17"/>
      <c r="LCR32" s="17"/>
      <c r="LCS32" s="17"/>
      <c r="LCT32" s="17"/>
      <c r="LCU32" s="17"/>
      <c r="LCV32" s="17"/>
      <c r="LCW32" s="17"/>
      <c r="LCX32" s="17"/>
      <c r="LCY32" s="17"/>
      <c r="LCZ32" s="17"/>
      <c r="LDA32" s="17"/>
      <c r="LDB32" s="17"/>
      <c r="LDC32" s="17"/>
      <c r="LDD32" s="17"/>
      <c r="LDE32" s="17"/>
      <c r="LDF32" s="17"/>
      <c r="LDG32" s="17"/>
      <c r="LDH32" s="17"/>
      <c r="LDI32" s="17"/>
      <c r="LDJ32" s="17"/>
      <c r="LDK32" s="17"/>
      <c r="LDL32" s="17"/>
      <c r="LDM32" s="17"/>
      <c r="LDN32" s="17"/>
      <c r="LDO32" s="17"/>
      <c r="LDP32" s="17"/>
      <c r="LDQ32" s="17"/>
      <c r="LDR32" s="17"/>
      <c r="LDS32" s="17"/>
      <c r="LDT32" s="17"/>
      <c r="LDU32" s="17"/>
      <c r="LDV32" s="17"/>
      <c r="LDW32" s="17"/>
      <c r="LDX32" s="17"/>
      <c r="LDY32" s="17"/>
      <c r="LDZ32" s="17"/>
      <c r="LEA32" s="17"/>
      <c r="LEB32" s="17"/>
      <c r="LEC32" s="17"/>
      <c r="LED32" s="17"/>
      <c r="LEE32" s="17"/>
      <c r="LEF32" s="17"/>
      <c r="LEG32" s="17"/>
      <c r="LEH32" s="17"/>
      <c r="LEI32" s="17"/>
      <c r="LEJ32" s="17"/>
      <c r="LEK32" s="17"/>
      <c r="LEL32" s="17"/>
      <c r="LEM32" s="17"/>
      <c r="LEN32" s="17"/>
      <c r="LEO32" s="17"/>
      <c r="LEP32" s="17"/>
      <c r="LEQ32" s="17"/>
      <c r="LER32" s="17"/>
      <c r="LES32" s="17"/>
      <c r="LET32" s="17"/>
      <c r="LEU32" s="17"/>
      <c r="LEV32" s="17"/>
      <c r="LEW32" s="17"/>
      <c r="LEX32" s="17"/>
      <c r="LEY32" s="17"/>
      <c r="LEZ32" s="17"/>
      <c r="LFA32" s="17"/>
      <c r="LFB32" s="17"/>
      <c r="LFC32" s="17"/>
      <c r="LFD32" s="17"/>
      <c r="LFE32" s="17"/>
      <c r="LFF32" s="17"/>
      <c r="LFG32" s="17"/>
      <c r="LFH32" s="17"/>
      <c r="LFI32" s="17"/>
      <c r="LFJ32" s="17"/>
      <c r="LFK32" s="17"/>
      <c r="LFL32" s="17"/>
      <c r="LFM32" s="17"/>
      <c r="LFN32" s="17"/>
      <c r="LFO32" s="17"/>
      <c r="LFP32" s="17"/>
      <c r="LFQ32" s="17"/>
      <c r="LFR32" s="17"/>
      <c r="LFS32" s="17"/>
      <c r="LFT32" s="17"/>
      <c r="LFU32" s="17"/>
      <c r="LFV32" s="17"/>
      <c r="LFW32" s="17"/>
      <c r="LFX32" s="17"/>
      <c r="LFY32" s="17"/>
      <c r="LFZ32" s="17"/>
      <c r="LGA32" s="17"/>
      <c r="LGB32" s="17"/>
      <c r="LGC32" s="17"/>
      <c r="LGD32" s="17"/>
      <c r="LGE32" s="17"/>
      <c r="LGF32" s="17"/>
      <c r="LGG32" s="17"/>
      <c r="LGH32" s="17"/>
      <c r="LGI32" s="17"/>
      <c r="LGJ32" s="17"/>
      <c r="LGK32" s="17"/>
      <c r="LGL32" s="17"/>
      <c r="LGM32" s="17"/>
      <c r="LGN32" s="17"/>
      <c r="LGO32" s="17"/>
      <c r="LGP32" s="17"/>
      <c r="LGQ32" s="17"/>
      <c r="LGR32" s="17"/>
      <c r="LGS32" s="17"/>
      <c r="LGT32" s="17"/>
      <c r="LGU32" s="17"/>
      <c r="LGV32" s="17"/>
      <c r="LGW32" s="17"/>
      <c r="LGX32" s="17"/>
      <c r="LGY32" s="17"/>
      <c r="LGZ32" s="17"/>
      <c r="LHA32" s="17"/>
      <c r="LHB32" s="17"/>
      <c r="LHC32" s="17"/>
      <c r="LHD32" s="17"/>
      <c r="LHE32" s="17"/>
      <c r="LHF32" s="17"/>
      <c r="LHG32" s="17"/>
      <c r="LHH32" s="17"/>
      <c r="LHI32" s="17"/>
      <c r="LHJ32" s="17"/>
      <c r="LHK32" s="17"/>
      <c r="LHL32" s="17"/>
      <c r="LHM32" s="17"/>
      <c r="LHN32" s="17"/>
      <c r="LHO32" s="17"/>
      <c r="LHP32" s="17"/>
      <c r="LHQ32" s="17"/>
      <c r="LHR32" s="17"/>
      <c r="LHS32" s="17"/>
      <c r="LHT32" s="17"/>
      <c r="LHU32" s="17"/>
      <c r="LHV32" s="17"/>
      <c r="LHW32" s="17"/>
      <c r="LHX32" s="17"/>
      <c r="LHY32" s="17"/>
      <c r="LHZ32" s="17"/>
      <c r="LIA32" s="17"/>
      <c r="LIB32" s="17"/>
      <c r="LIC32" s="17"/>
      <c r="LID32" s="17"/>
      <c r="LIE32" s="17"/>
      <c r="LIF32" s="17"/>
      <c r="LIG32" s="17"/>
      <c r="LIH32" s="17"/>
      <c r="LII32" s="17"/>
      <c r="LIJ32" s="17"/>
      <c r="LIK32" s="17"/>
      <c r="LIL32" s="17"/>
      <c r="LIM32" s="17"/>
      <c r="LIN32" s="17"/>
      <c r="LIO32" s="17"/>
      <c r="LIP32" s="17"/>
      <c r="LIQ32" s="17"/>
      <c r="LIR32" s="17"/>
      <c r="LIS32" s="17"/>
      <c r="LIT32" s="17"/>
      <c r="LIU32" s="17"/>
      <c r="LIV32" s="17"/>
      <c r="LIW32" s="17"/>
      <c r="LIX32" s="17"/>
      <c r="LIY32" s="17"/>
      <c r="LIZ32" s="17"/>
      <c r="LJA32" s="17"/>
      <c r="LJB32" s="17"/>
      <c r="LJC32" s="17"/>
      <c r="LJD32" s="17"/>
      <c r="LJE32" s="17"/>
      <c r="LJF32" s="17"/>
      <c r="LJG32" s="17"/>
      <c r="LJH32" s="17"/>
      <c r="LJI32" s="17"/>
      <c r="LJJ32" s="17"/>
      <c r="LJK32" s="17"/>
      <c r="LJL32" s="17"/>
      <c r="LJM32" s="17"/>
      <c r="LJN32" s="17"/>
      <c r="LJO32" s="17"/>
      <c r="LJP32" s="17"/>
      <c r="LJQ32" s="17"/>
      <c r="LJR32" s="17"/>
      <c r="LJS32" s="17"/>
      <c r="LJT32" s="17"/>
      <c r="LJU32" s="17"/>
      <c r="LJV32" s="17"/>
      <c r="LJW32" s="17"/>
      <c r="LJX32" s="17"/>
      <c r="LJY32" s="17"/>
      <c r="LJZ32" s="17"/>
      <c r="LKA32" s="17"/>
      <c r="LKB32" s="17"/>
      <c r="LKC32" s="17"/>
      <c r="LKD32" s="17"/>
      <c r="LKE32" s="17"/>
      <c r="LKF32" s="17"/>
      <c r="LKG32" s="17"/>
      <c r="LKH32" s="17"/>
      <c r="LKI32" s="17"/>
      <c r="LKJ32" s="17"/>
      <c r="LKK32" s="17"/>
      <c r="LKL32" s="17"/>
      <c r="LKM32" s="17"/>
      <c r="LKN32" s="17"/>
      <c r="LKO32" s="17"/>
      <c r="LKP32" s="17"/>
      <c r="LKQ32" s="17"/>
      <c r="LKR32" s="17"/>
      <c r="LKS32" s="17"/>
      <c r="LKT32" s="17"/>
      <c r="LKU32" s="17"/>
      <c r="LKV32" s="17"/>
      <c r="LKW32" s="17"/>
      <c r="LKX32" s="17"/>
      <c r="LKY32" s="17"/>
      <c r="LKZ32" s="17"/>
      <c r="LLA32" s="17"/>
      <c r="LLB32" s="17"/>
      <c r="LLC32" s="17"/>
      <c r="LLD32" s="17"/>
      <c r="LLE32" s="17"/>
      <c r="LLF32" s="17"/>
      <c r="LLG32" s="17"/>
      <c r="LLH32" s="17"/>
      <c r="LLI32" s="17"/>
      <c r="LLJ32" s="17"/>
      <c r="LLK32" s="17"/>
      <c r="LLL32" s="17"/>
      <c r="LLM32" s="17"/>
      <c r="LLN32" s="17"/>
      <c r="LLO32" s="17"/>
      <c r="LLP32" s="17"/>
      <c r="LLQ32" s="17"/>
      <c r="LLR32" s="17"/>
      <c r="LLS32" s="17"/>
      <c r="LLT32" s="17"/>
      <c r="LLU32" s="17"/>
      <c r="LLV32" s="17"/>
      <c r="LLW32" s="17"/>
      <c r="LLX32" s="17"/>
      <c r="LLY32" s="17"/>
      <c r="LLZ32" s="17"/>
      <c r="LMA32" s="17"/>
      <c r="LMB32" s="17"/>
      <c r="LMC32" s="17"/>
      <c r="LMD32" s="17"/>
      <c r="LME32" s="17"/>
      <c r="LMF32" s="17"/>
      <c r="LMG32" s="17"/>
      <c r="LMH32" s="17"/>
      <c r="LMI32" s="17"/>
      <c r="LMJ32" s="17"/>
      <c r="LMK32" s="17"/>
      <c r="LML32" s="17"/>
      <c r="LMM32" s="17"/>
      <c r="LMN32" s="17"/>
      <c r="LMO32" s="17"/>
      <c r="LMP32" s="17"/>
      <c r="LMQ32" s="17"/>
      <c r="LMR32" s="17"/>
      <c r="LMS32" s="17"/>
      <c r="LMT32" s="17"/>
      <c r="LMU32" s="17"/>
      <c r="LMV32" s="17"/>
      <c r="LMW32" s="17"/>
      <c r="LMX32" s="17"/>
      <c r="LMY32" s="17"/>
      <c r="LMZ32" s="17"/>
      <c r="LNA32" s="17"/>
      <c r="LNB32" s="17"/>
      <c r="LNC32" s="17"/>
      <c r="LND32" s="17"/>
      <c r="LNE32" s="17"/>
      <c r="LNF32" s="17"/>
      <c r="LNG32" s="17"/>
      <c r="LNH32" s="17"/>
      <c r="LNI32" s="17"/>
      <c r="LNJ32" s="17"/>
      <c r="LNK32" s="17"/>
      <c r="LNL32" s="17"/>
      <c r="LNM32" s="17"/>
      <c r="LNN32" s="17"/>
      <c r="LNO32" s="17"/>
      <c r="LNP32" s="17"/>
      <c r="LNQ32" s="17"/>
      <c r="LNR32" s="17"/>
      <c r="LNS32" s="17"/>
      <c r="LNT32" s="17"/>
      <c r="LNU32" s="17"/>
      <c r="LNV32" s="17"/>
      <c r="LNW32" s="17"/>
      <c r="LNX32" s="17"/>
      <c r="LNY32" s="17"/>
      <c r="LNZ32" s="17"/>
      <c r="LOA32" s="17"/>
      <c r="LOB32" s="17"/>
      <c r="LOC32" s="17"/>
      <c r="LOD32" s="17"/>
      <c r="LOE32" s="17"/>
      <c r="LOF32" s="17"/>
      <c r="LOG32" s="17"/>
      <c r="LOH32" s="17"/>
      <c r="LOI32" s="17"/>
      <c r="LOJ32" s="17"/>
      <c r="LOK32" s="17"/>
      <c r="LOL32" s="17"/>
      <c r="LOM32" s="17"/>
      <c r="LON32" s="17"/>
      <c r="LOO32" s="17"/>
      <c r="LOP32" s="17"/>
      <c r="LOQ32" s="17"/>
      <c r="LOR32" s="17"/>
      <c r="LOS32" s="17"/>
      <c r="LOT32" s="17"/>
      <c r="LOU32" s="17"/>
      <c r="LOV32" s="17"/>
      <c r="LOW32" s="17"/>
      <c r="LOX32" s="17"/>
      <c r="LOY32" s="17"/>
      <c r="LOZ32" s="17"/>
      <c r="LPA32" s="17"/>
      <c r="LPB32" s="17"/>
      <c r="LPC32" s="17"/>
      <c r="LPD32" s="17"/>
      <c r="LPE32" s="17"/>
      <c r="LPF32" s="17"/>
      <c r="LPG32" s="17"/>
      <c r="LPH32" s="17"/>
      <c r="LPI32" s="17"/>
      <c r="LPJ32" s="17"/>
      <c r="LPK32" s="17"/>
      <c r="LPL32" s="17"/>
      <c r="LPM32" s="17"/>
      <c r="LPN32" s="17"/>
      <c r="LPO32" s="17"/>
      <c r="LPP32" s="17"/>
      <c r="LPQ32" s="17"/>
      <c r="LPR32" s="17"/>
      <c r="LPS32" s="17"/>
      <c r="LPT32" s="17"/>
      <c r="LPU32" s="17"/>
      <c r="LPV32" s="17"/>
      <c r="LPW32" s="17"/>
      <c r="LPX32" s="17"/>
      <c r="LPY32" s="17"/>
      <c r="LPZ32" s="17"/>
      <c r="LQA32" s="17"/>
      <c r="LQB32" s="17"/>
      <c r="LQC32" s="17"/>
      <c r="LQD32" s="17"/>
      <c r="LQE32" s="17"/>
      <c r="LQF32" s="17"/>
      <c r="LQG32" s="17"/>
      <c r="LQH32" s="17"/>
      <c r="LQI32" s="17"/>
      <c r="LQJ32" s="17"/>
      <c r="LQK32" s="17"/>
      <c r="LQL32" s="17"/>
      <c r="LQM32" s="17"/>
      <c r="LQN32" s="17"/>
      <c r="LQO32" s="17"/>
      <c r="LQP32" s="17"/>
      <c r="LQQ32" s="17"/>
      <c r="LQR32" s="17"/>
      <c r="LQS32" s="17"/>
      <c r="LQT32" s="17"/>
      <c r="LQU32" s="17"/>
      <c r="LQV32" s="17"/>
      <c r="LQW32" s="17"/>
      <c r="LQX32" s="17"/>
      <c r="LQY32" s="17"/>
      <c r="LQZ32" s="17"/>
      <c r="LRA32" s="17"/>
      <c r="LRB32" s="17"/>
      <c r="LRC32" s="17"/>
      <c r="LRD32" s="17"/>
      <c r="LRE32" s="17"/>
      <c r="LRF32" s="17"/>
      <c r="LRG32" s="17"/>
      <c r="LRH32" s="17"/>
      <c r="LRI32" s="17"/>
      <c r="LRJ32" s="17"/>
      <c r="LRK32" s="17"/>
      <c r="LRL32" s="17"/>
      <c r="LRM32" s="17"/>
      <c r="LRN32" s="17"/>
      <c r="LRO32" s="17"/>
      <c r="LRP32" s="17"/>
      <c r="LRQ32" s="17"/>
      <c r="LRR32" s="17"/>
      <c r="LRS32" s="17"/>
      <c r="LRT32" s="17"/>
      <c r="LRU32" s="17"/>
      <c r="LRV32" s="17"/>
      <c r="LRW32" s="17"/>
      <c r="LRX32" s="17"/>
      <c r="LRY32" s="17"/>
      <c r="LRZ32" s="17"/>
      <c r="LSA32" s="17"/>
      <c r="LSB32" s="17"/>
      <c r="LSC32" s="17"/>
      <c r="LSD32" s="17"/>
      <c r="LSE32" s="17"/>
      <c r="LSF32" s="17"/>
      <c r="LSG32" s="17"/>
      <c r="LSH32" s="17"/>
      <c r="LSI32" s="17"/>
      <c r="LSJ32" s="17"/>
      <c r="LSK32" s="17"/>
      <c r="LSL32" s="17"/>
      <c r="LSM32" s="17"/>
      <c r="LSN32" s="17"/>
      <c r="LSO32" s="17"/>
      <c r="LSP32" s="17"/>
      <c r="LSQ32" s="17"/>
      <c r="LSR32" s="17"/>
      <c r="LSS32" s="17"/>
      <c r="LST32" s="17"/>
      <c r="LSU32" s="17"/>
      <c r="LSV32" s="17"/>
      <c r="LSW32" s="17"/>
      <c r="LSX32" s="17"/>
      <c r="LSY32" s="17"/>
      <c r="LSZ32" s="17"/>
      <c r="LTA32" s="17"/>
      <c r="LTB32" s="17"/>
      <c r="LTC32" s="17"/>
      <c r="LTD32" s="17"/>
      <c r="LTE32" s="17"/>
      <c r="LTF32" s="17"/>
      <c r="LTG32" s="17"/>
      <c r="LTH32" s="17"/>
      <c r="LTI32" s="17"/>
      <c r="LTJ32" s="17"/>
      <c r="LTK32" s="17"/>
      <c r="LTL32" s="17"/>
      <c r="LTM32" s="17"/>
      <c r="LTN32" s="17"/>
      <c r="LTO32" s="17"/>
      <c r="LTP32" s="17"/>
      <c r="LTQ32" s="17"/>
      <c r="LTR32" s="17"/>
      <c r="LTS32" s="17"/>
      <c r="LTT32" s="17"/>
      <c r="LTU32" s="17"/>
      <c r="LTV32" s="17"/>
      <c r="LTW32" s="17"/>
      <c r="LTX32" s="17"/>
      <c r="LTY32" s="17"/>
      <c r="LTZ32" s="17"/>
      <c r="LUA32" s="17"/>
      <c r="LUB32" s="17"/>
      <c r="LUC32" s="17"/>
      <c r="LUD32" s="17"/>
      <c r="LUE32" s="17"/>
      <c r="LUF32" s="17"/>
      <c r="LUG32" s="17"/>
      <c r="LUH32" s="17"/>
      <c r="LUI32" s="17"/>
      <c r="LUJ32" s="17"/>
      <c r="LUK32" s="17"/>
      <c r="LUL32" s="17"/>
      <c r="LUM32" s="17"/>
      <c r="LUN32" s="17"/>
      <c r="LUO32" s="17"/>
      <c r="LUP32" s="17"/>
      <c r="LUQ32" s="17"/>
      <c r="LUR32" s="17"/>
      <c r="LUS32" s="17"/>
      <c r="LUT32" s="17"/>
      <c r="LUU32" s="17"/>
      <c r="LUV32" s="17"/>
      <c r="LUW32" s="17"/>
      <c r="LUX32" s="17"/>
      <c r="LUY32" s="17"/>
      <c r="LUZ32" s="17"/>
      <c r="LVA32" s="17"/>
      <c r="LVB32" s="17"/>
      <c r="LVC32" s="17"/>
      <c r="LVD32" s="17"/>
      <c r="LVE32" s="17"/>
      <c r="LVF32" s="17"/>
      <c r="LVG32" s="17"/>
      <c r="LVH32" s="17"/>
      <c r="LVI32" s="17"/>
      <c r="LVJ32" s="17"/>
      <c r="LVK32" s="17"/>
      <c r="LVL32" s="17"/>
      <c r="LVM32" s="17"/>
      <c r="LVN32" s="17"/>
      <c r="LVO32" s="17"/>
      <c r="LVP32" s="17"/>
      <c r="LVQ32" s="17"/>
      <c r="LVR32" s="17"/>
      <c r="LVS32" s="17"/>
      <c r="LVT32" s="17"/>
      <c r="LVU32" s="17"/>
      <c r="LVV32" s="17"/>
      <c r="LVW32" s="17"/>
      <c r="LVX32" s="17"/>
      <c r="LVY32" s="17"/>
      <c r="LVZ32" s="17"/>
      <c r="LWA32" s="17"/>
      <c r="LWB32" s="17"/>
      <c r="LWC32" s="17"/>
      <c r="LWD32" s="17"/>
      <c r="LWE32" s="17"/>
      <c r="LWF32" s="17"/>
      <c r="LWG32" s="17"/>
      <c r="LWH32" s="17"/>
      <c r="LWI32" s="17"/>
      <c r="LWJ32" s="17"/>
      <c r="LWK32" s="17"/>
      <c r="LWL32" s="17"/>
      <c r="LWM32" s="17"/>
      <c r="LWN32" s="17"/>
      <c r="LWO32" s="17"/>
      <c r="LWP32" s="17"/>
      <c r="LWQ32" s="17"/>
      <c r="LWR32" s="17"/>
      <c r="LWS32" s="17"/>
      <c r="LWT32" s="17"/>
      <c r="LWU32" s="17"/>
      <c r="LWV32" s="17"/>
      <c r="LWW32" s="17"/>
      <c r="LWX32" s="17"/>
      <c r="LWY32" s="17"/>
      <c r="LWZ32" s="17"/>
      <c r="LXA32" s="17"/>
      <c r="LXB32" s="17"/>
      <c r="LXC32" s="17"/>
      <c r="LXD32" s="17"/>
      <c r="LXE32" s="17"/>
      <c r="LXF32" s="17"/>
      <c r="LXG32" s="17"/>
      <c r="LXH32" s="17"/>
      <c r="LXI32" s="17"/>
      <c r="LXJ32" s="17"/>
      <c r="LXK32" s="17"/>
      <c r="LXL32" s="17"/>
      <c r="LXM32" s="17"/>
      <c r="LXN32" s="17"/>
      <c r="LXO32" s="17"/>
      <c r="LXP32" s="17"/>
      <c r="LXQ32" s="17"/>
      <c r="LXR32" s="17"/>
      <c r="LXS32" s="17"/>
      <c r="LXT32" s="17"/>
      <c r="LXU32" s="17"/>
      <c r="LXV32" s="17"/>
      <c r="LXW32" s="17"/>
      <c r="LXX32" s="17"/>
      <c r="LXY32" s="17"/>
      <c r="LXZ32" s="17"/>
      <c r="LYA32" s="17"/>
      <c r="LYB32" s="17"/>
      <c r="LYC32" s="17"/>
      <c r="LYD32" s="17"/>
      <c r="LYE32" s="17"/>
      <c r="LYF32" s="17"/>
      <c r="LYG32" s="17"/>
      <c r="LYH32" s="17"/>
      <c r="LYI32" s="17"/>
      <c r="LYJ32" s="17"/>
      <c r="LYK32" s="17"/>
      <c r="LYL32" s="17"/>
      <c r="LYM32" s="17"/>
      <c r="LYN32" s="17"/>
      <c r="LYO32" s="17"/>
      <c r="LYP32" s="17"/>
      <c r="LYQ32" s="17"/>
      <c r="LYR32" s="17"/>
      <c r="LYS32" s="17"/>
      <c r="LYT32" s="17"/>
      <c r="LYU32" s="17"/>
      <c r="LYV32" s="17"/>
      <c r="LYW32" s="17"/>
      <c r="LYX32" s="17"/>
      <c r="LYY32" s="17"/>
      <c r="LYZ32" s="17"/>
      <c r="LZA32" s="17"/>
      <c r="LZB32" s="17"/>
      <c r="LZC32" s="17"/>
      <c r="LZD32" s="17"/>
      <c r="LZE32" s="17"/>
      <c r="LZF32" s="17"/>
      <c r="LZG32" s="17"/>
      <c r="LZH32" s="17"/>
      <c r="LZI32" s="17"/>
      <c r="LZJ32" s="17"/>
      <c r="LZK32" s="17"/>
      <c r="LZL32" s="17"/>
      <c r="LZM32" s="17"/>
      <c r="LZN32" s="17"/>
      <c r="LZO32" s="17"/>
      <c r="LZP32" s="17"/>
      <c r="LZQ32" s="17"/>
      <c r="LZR32" s="17"/>
      <c r="LZS32" s="17"/>
      <c r="LZT32" s="17"/>
      <c r="LZU32" s="17"/>
      <c r="LZV32" s="17"/>
      <c r="LZW32" s="17"/>
      <c r="LZX32" s="17"/>
      <c r="LZY32" s="17"/>
      <c r="LZZ32" s="17"/>
      <c r="MAA32" s="17"/>
      <c r="MAB32" s="17"/>
      <c r="MAC32" s="17"/>
      <c r="MAD32" s="17"/>
      <c r="MAE32" s="17"/>
      <c r="MAF32" s="17"/>
      <c r="MAG32" s="17"/>
      <c r="MAH32" s="17"/>
      <c r="MAI32" s="17"/>
      <c r="MAJ32" s="17"/>
      <c r="MAK32" s="17"/>
      <c r="MAL32" s="17"/>
      <c r="MAM32" s="17"/>
      <c r="MAN32" s="17"/>
      <c r="MAO32" s="17"/>
      <c r="MAP32" s="17"/>
      <c r="MAQ32" s="17"/>
      <c r="MAR32" s="17"/>
      <c r="MAS32" s="17"/>
      <c r="MAT32" s="17"/>
      <c r="MAU32" s="17"/>
      <c r="MAV32" s="17"/>
      <c r="MAW32" s="17"/>
      <c r="MAX32" s="17"/>
      <c r="MAY32" s="17"/>
      <c r="MAZ32" s="17"/>
      <c r="MBA32" s="17"/>
      <c r="MBB32" s="17"/>
      <c r="MBC32" s="17"/>
      <c r="MBD32" s="17"/>
      <c r="MBE32" s="17"/>
      <c r="MBF32" s="17"/>
      <c r="MBG32" s="17"/>
      <c r="MBH32" s="17"/>
      <c r="MBI32" s="17"/>
      <c r="MBJ32" s="17"/>
      <c r="MBK32" s="17"/>
      <c r="MBL32" s="17"/>
      <c r="MBM32" s="17"/>
      <c r="MBN32" s="17"/>
      <c r="MBO32" s="17"/>
      <c r="MBP32" s="17"/>
      <c r="MBQ32" s="17"/>
      <c r="MBR32" s="17"/>
      <c r="MBS32" s="17"/>
      <c r="MBT32" s="17"/>
      <c r="MBU32" s="17"/>
      <c r="MBV32" s="17"/>
      <c r="MBW32" s="17"/>
      <c r="MBX32" s="17"/>
      <c r="MBY32" s="17"/>
      <c r="MBZ32" s="17"/>
      <c r="MCA32" s="17"/>
      <c r="MCB32" s="17"/>
      <c r="MCC32" s="17"/>
      <c r="MCD32" s="17"/>
      <c r="MCE32" s="17"/>
      <c r="MCF32" s="17"/>
      <c r="MCG32" s="17"/>
      <c r="MCH32" s="17"/>
      <c r="MCI32" s="17"/>
      <c r="MCJ32" s="17"/>
      <c r="MCK32" s="17"/>
      <c r="MCL32" s="17"/>
      <c r="MCM32" s="17"/>
      <c r="MCN32" s="17"/>
      <c r="MCO32" s="17"/>
      <c r="MCP32" s="17"/>
      <c r="MCQ32" s="17"/>
      <c r="MCR32" s="17"/>
      <c r="MCS32" s="17"/>
      <c r="MCT32" s="17"/>
      <c r="MCU32" s="17"/>
      <c r="MCV32" s="17"/>
      <c r="MCW32" s="17"/>
      <c r="MCX32" s="17"/>
      <c r="MCY32" s="17"/>
      <c r="MCZ32" s="17"/>
      <c r="MDA32" s="17"/>
      <c r="MDB32" s="17"/>
      <c r="MDC32" s="17"/>
      <c r="MDD32" s="17"/>
      <c r="MDE32" s="17"/>
      <c r="MDF32" s="17"/>
      <c r="MDG32" s="17"/>
      <c r="MDH32" s="17"/>
      <c r="MDI32" s="17"/>
      <c r="MDJ32" s="17"/>
      <c r="MDK32" s="17"/>
      <c r="MDL32" s="17"/>
      <c r="MDM32" s="17"/>
      <c r="MDN32" s="17"/>
      <c r="MDO32" s="17"/>
      <c r="MDP32" s="17"/>
      <c r="MDQ32" s="17"/>
      <c r="MDR32" s="17"/>
      <c r="MDS32" s="17"/>
      <c r="MDT32" s="17"/>
      <c r="MDU32" s="17"/>
      <c r="MDV32" s="17"/>
      <c r="MDW32" s="17"/>
      <c r="MDX32" s="17"/>
      <c r="MDY32" s="17"/>
      <c r="MDZ32" s="17"/>
      <c r="MEA32" s="17"/>
      <c r="MEB32" s="17"/>
      <c r="MEC32" s="17"/>
      <c r="MED32" s="17"/>
      <c r="MEE32" s="17"/>
      <c r="MEF32" s="17"/>
      <c r="MEG32" s="17"/>
      <c r="MEH32" s="17"/>
      <c r="MEI32" s="17"/>
      <c r="MEJ32" s="17"/>
      <c r="MEK32" s="17"/>
      <c r="MEL32" s="17"/>
      <c r="MEM32" s="17"/>
      <c r="MEN32" s="17"/>
      <c r="MEO32" s="17"/>
      <c r="MEP32" s="17"/>
      <c r="MEQ32" s="17"/>
      <c r="MER32" s="17"/>
      <c r="MES32" s="17"/>
      <c r="MET32" s="17"/>
      <c r="MEU32" s="17"/>
      <c r="MEV32" s="17"/>
      <c r="MEW32" s="17"/>
      <c r="MEX32" s="17"/>
      <c r="MEY32" s="17"/>
      <c r="MEZ32" s="17"/>
      <c r="MFA32" s="17"/>
      <c r="MFB32" s="17"/>
      <c r="MFC32" s="17"/>
      <c r="MFD32" s="17"/>
      <c r="MFE32" s="17"/>
      <c r="MFF32" s="17"/>
      <c r="MFG32" s="17"/>
      <c r="MFH32" s="17"/>
      <c r="MFI32" s="17"/>
      <c r="MFJ32" s="17"/>
      <c r="MFK32" s="17"/>
      <c r="MFL32" s="17"/>
      <c r="MFM32" s="17"/>
      <c r="MFN32" s="17"/>
      <c r="MFO32" s="17"/>
      <c r="MFP32" s="17"/>
      <c r="MFQ32" s="17"/>
      <c r="MFR32" s="17"/>
      <c r="MFS32" s="17"/>
      <c r="MFT32" s="17"/>
      <c r="MFU32" s="17"/>
      <c r="MFV32" s="17"/>
      <c r="MFW32" s="17"/>
      <c r="MFX32" s="17"/>
      <c r="MFY32" s="17"/>
      <c r="MFZ32" s="17"/>
      <c r="MGA32" s="17"/>
      <c r="MGB32" s="17"/>
      <c r="MGC32" s="17"/>
      <c r="MGD32" s="17"/>
      <c r="MGE32" s="17"/>
      <c r="MGF32" s="17"/>
      <c r="MGG32" s="17"/>
      <c r="MGH32" s="17"/>
      <c r="MGI32" s="17"/>
      <c r="MGJ32" s="17"/>
      <c r="MGK32" s="17"/>
      <c r="MGL32" s="17"/>
      <c r="MGM32" s="17"/>
      <c r="MGN32" s="17"/>
      <c r="MGO32" s="17"/>
      <c r="MGP32" s="17"/>
      <c r="MGQ32" s="17"/>
      <c r="MGR32" s="17"/>
      <c r="MGS32" s="17"/>
      <c r="MGT32" s="17"/>
      <c r="MGU32" s="17"/>
      <c r="MGV32" s="17"/>
      <c r="MGW32" s="17"/>
      <c r="MGX32" s="17"/>
      <c r="MGY32" s="17"/>
      <c r="MGZ32" s="17"/>
      <c r="MHA32" s="17"/>
      <c r="MHB32" s="17"/>
      <c r="MHC32" s="17"/>
      <c r="MHD32" s="17"/>
      <c r="MHE32" s="17"/>
      <c r="MHF32" s="17"/>
      <c r="MHG32" s="17"/>
      <c r="MHH32" s="17"/>
      <c r="MHI32" s="17"/>
      <c r="MHJ32" s="17"/>
      <c r="MHK32" s="17"/>
      <c r="MHL32" s="17"/>
      <c r="MHM32" s="17"/>
      <c r="MHN32" s="17"/>
      <c r="MHO32" s="17"/>
      <c r="MHP32" s="17"/>
      <c r="MHQ32" s="17"/>
      <c r="MHR32" s="17"/>
      <c r="MHS32" s="17"/>
      <c r="MHT32" s="17"/>
      <c r="MHU32" s="17"/>
      <c r="MHV32" s="17"/>
      <c r="MHW32" s="17"/>
      <c r="MHX32" s="17"/>
      <c r="MHY32" s="17"/>
      <c r="MHZ32" s="17"/>
      <c r="MIA32" s="17"/>
      <c r="MIB32" s="17"/>
      <c r="MIC32" s="17"/>
      <c r="MID32" s="17"/>
      <c r="MIE32" s="17"/>
      <c r="MIF32" s="17"/>
      <c r="MIG32" s="17"/>
      <c r="MIH32" s="17"/>
      <c r="MII32" s="17"/>
      <c r="MIJ32" s="17"/>
      <c r="MIK32" s="17"/>
      <c r="MIL32" s="17"/>
      <c r="MIM32" s="17"/>
      <c r="MIN32" s="17"/>
      <c r="MIO32" s="17"/>
      <c r="MIP32" s="17"/>
      <c r="MIQ32" s="17"/>
      <c r="MIR32" s="17"/>
      <c r="MIS32" s="17"/>
      <c r="MIT32" s="17"/>
      <c r="MIU32" s="17"/>
      <c r="MIV32" s="17"/>
      <c r="MIW32" s="17"/>
      <c r="MIX32" s="17"/>
      <c r="MIY32" s="17"/>
      <c r="MIZ32" s="17"/>
      <c r="MJA32" s="17"/>
      <c r="MJB32" s="17"/>
      <c r="MJC32" s="17"/>
      <c r="MJD32" s="17"/>
      <c r="MJE32" s="17"/>
      <c r="MJF32" s="17"/>
      <c r="MJG32" s="17"/>
      <c r="MJH32" s="17"/>
      <c r="MJI32" s="17"/>
      <c r="MJJ32" s="17"/>
      <c r="MJK32" s="17"/>
      <c r="MJL32" s="17"/>
      <c r="MJM32" s="17"/>
      <c r="MJN32" s="17"/>
      <c r="MJO32" s="17"/>
      <c r="MJP32" s="17"/>
      <c r="MJQ32" s="17"/>
      <c r="MJR32" s="17"/>
      <c r="MJS32" s="17"/>
      <c r="MJT32" s="17"/>
      <c r="MJU32" s="17"/>
      <c r="MJV32" s="17"/>
      <c r="MJW32" s="17"/>
      <c r="MJX32" s="17"/>
      <c r="MJY32" s="17"/>
      <c r="MJZ32" s="17"/>
      <c r="MKA32" s="17"/>
      <c r="MKB32" s="17"/>
      <c r="MKC32" s="17"/>
      <c r="MKD32" s="17"/>
      <c r="MKE32" s="17"/>
      <c r="MKF32" s="17"/>
      <c r="MKG32" s="17"/>
      <c r="MKH32" s="17"/>
      <c r="MKI32" s="17"/>
      <c r="MKJ32" s="17"/>
      <c r="MKK32" s="17"/>
      <c r="MKL32" s="17"/>
      <c r="MKM32" s="17"/>
      <c r="MKN32" s="17"/>
      <c r="MKO32" s="17"/>
      <c r="MKP32" s="17"/>
      <c r="MKQ32" s="17"/>
      <c r="MKR32" s="17"/>
      <c r="MKS32" s="17"/>
      <c r="MKT32" s="17"/>
      <c r="MKU32" s="17"/>
      <c r="MKV32" s="17"/>
      <c r="MKW32" s="17"/>
      <c r="MKX32" s="17"/>
      <c r="MKY32" s="17"/>
      <c r="MKZ32" s="17"/>
      <c r="MLA32" s="17"/>
      <c r="MLB32" s="17"/>
      <c r="MLC32" s="17"/>
      <c r="MLD32" s="17"/>
      <c r="MLE32" s="17"/>
      <c r="MLF32" s="17"/>
      <c r="MLG32" s="17"/>
      <c r="MLH32" s="17"/>
      <c r="MLI32" s="17"/>
      <c r="MLJ32" s="17"/>
      <c r="MLK32" s="17"/>
      <c r="MLL32" s="17"/>
      <c r="MLM32" s="17"/>
      <c r="MLN32" s="17"/>
      <c r="MLO32" s="17"/>
      <c r="MLP32" s="17"/>
      <c r="MLQ32" s="17"/>
      <c r="MLR32" s="17"/>
      <c r="MLS32" s="17"/>
      <c r="MLT32" s="17"/>
      <c r="MLU32" s="17"/>
      <c r="MLV32" s="17"/>
      <c r="MLW32" s="17"/>
      <c r="MLX32" s="17"/>
      <c r="MLY32" s="17"/>
      <c r="MLZ32" s="17"/>
      <c r="MMA32" s="17"/>
      <c r="MMB32" s="17"/>
      <c r="MMC32" s="17"/>
      <c r="MMD32" s="17"/>
      <c r="MME32" s="17"/>
      <c r="MMF32" s="17"/>
      <c r="MMG32" s="17"/>
      <c r="MMH32" s="17"/>
      <c r="MMI32" s="17"/>
      <c r="MMJ32" s="17"/>
      <c r="MMK32" s="17"/>
      <c r="MML32" s="17"/>
      <c r="MMM32" s="17"/>
      <c r="MMN32" s="17"/>
      <c r="MMO32" s="17"/>
      <c r="MMP32" s="17"/>
      <c r="MMQ32" s="17"/>
      <c r="MMR32" s="17"/>
      <c r="MMS32" s="17"/>
      <c r="MMT32" s="17"/>
      <c r="MMU32" s="17"/>
      <c r="MMV32" s="17"/>
      <c r="MMW32" s="17"/>
      <c r="MMX32" s="17"/>
      <c r="MMY32" s="17"/>
      <c r="MMZ32" s="17"/>
      <c r="MNA32" s="17"/>
      <c r="MNB32" s="17"/>
      <c r="MNC32" s="17"/>
      <c r="MND32" s="17"/>
      <c r="MNE32" s="17"/>
      <c r="MNF32" s="17"/>
      <c r="MNG32" s="17"/>
      <c r="MNH32" s="17"/>
      <c r="MNI32" s="17"/>
      <c r="MNJ32" s="17"/>
      <c r="MNK32" s="17"/>
      <c r="MNL32" s="17"/>
      <c r="MNM32" s="17"/>
      <c r="MNN32" s="17"/>
      <c r="MNO32" s="17"/>
      <c r="MNP32" s="17"/>
      <c r="MNQ32" s="17"/>
      <c r="MNR32" s="17"/>
      <c r="MNS32" s="17"/>
      <c r="MNT32" s="17"/>
      <c r="MNU32" s="17"/>
      <c r="MNV32" s="17"/>
      <c r="MNW32" s="17"/>
      <c r="MNX32" s="17"/>
      <c r="MNY32" s="17"/>
      <c r="MNZ32" s="17"/>
      <c r="MOA32" s="17"/>
      <c r="MOB32" s="17"/>
      <c r="MOC32" s="17"/>
      <c r="MOD32" s="17"/>
      <c r="MOE32" s="17"/>
      <c r="MOF32" s="17"/>
      <c r="MOG32" s="17"/>
      <c r="MOH32" s="17"/>
      <c r="MOI32" s="17"/>
      <c r="MOJ32" s="17"/>
      <c r="MOK32" s="17"/>
      <c r="MOL32" s="17"/>
      <c r="MOM32" s="17"/>
      <c r="MON32" s="17"/>
      <c r="MOO32" s="17"/>
      <c r="MOP32" s="17"/>
      <c r="MOQ32" s="17"/>
      <c r="MOR32" s="17"/>
      <c r="MOS32" s="17"/>
      <c r="MOT32" s="17"/>
      <c r="MOU32" s="17"/>
      <c r="MOV32" s="17"/>
      <c r="MOW32" s="17"/>
      <c r="MOX32" s="17"/>
      <c r="MOY32" s="17"/>
      <c r="MOZ32" s="17"/>
      <c r="MPA32" s="17"/>
      <c r="MPB32" s="17"/>
      <c r="MPC32" s="17"/>
      <c r="MPD32" s="17"/>
      <c r="MPE32" s="17"/>
      <c r="MPF32" s="17"/>
      <c r="MPG32" s="17"/>
      <c r="MPH32" s="17"/>
      <c r="MPI32" s="17"/>
      <c r="MPJ32" s="17"/>
      <c r="MPK32" s="17"/>
      <c r="MPL32" s="17"/>
      <c r="MPM32" s="17"/>
      <c r="MPN32" s="17"/>
      <c r="MPO32" s="17"/>
      <c r="MPP32" s="17"/>
      <c r="MPQ32" s="17"/>
      <c r="MPR32" s="17"/>
      <c r="MPS32" s="17"/>
      <c r="MPT32" s="17"/>
      <c r="MPU32" s="17"/>
      <c r="MPV32" s="17"/>
      <c r="MPW32" s="17"/>
      <c r="MPX32" s="17"/>
      <c r="MPY32" s="17"/>
      <c r="MPZ32" s="17"/>
      <c r="MQA32" s="17"/>
      <c r="MQB32" s="17"/>
      <c r="MQC32" s="17"/>
      <c r="MQD32" s="17"/>
      <c r="MQE32" s="17"/>
      <c r="MQF32" s="17"/>
      <c r="MQG32" s="17"/>
      <c r="MQH32" s="17"/>
      <c r="MQI32" s="17"/>
      <c r="MQJ32" s="17"/>
      <c r="MQK32" s="17"/>
      <c r="MQL32" s="17"/>
      <c r="MQM32" s="17"/>
      <c r="MQN32" s="17"/>
      <c r="MQO32" s="17"/>
      <c r="MQP32" s="17"/>
      <c r="MQQ32" s="17"/>
      <c r="MQR32" s="17"/>
      <c r="MQS32" s="17"/>
      <c r="MQT32" s="17"/>
      <c r="MQU32" s="17"/>
      <c r="MQV32" s="17"/>
      <c r="MQW32" s="17"/>
      <c r="MQX32" s="17"/>
      <c r="MQY32" s="17"/>
      <c r="MQZ32" s="17"/>
      <c r="MRA32" s="17"/>
      <c r="MRB32" s="17"/>
      <c r="MRC32" s="17"/>
      <c r="MRD32" s="17"/>
      <c r="MRE32" s="17"/>
      <c r="MRF32" s="17"/>
      <c r="MRG32" s="17"/>
      <c r="MRH32" s="17"/>
      <c r="MRI32" s="17"/>
      <c r="MRJ32" s="17"/>
      <c r="MRK32" s="17"/>
      <c r="MRL32" s="17"/>
      <c r="MRM32" s="17"/>
      <c r="MRN32" s="17"/>
      <c r="MRO32" s="17"/>
      <c r="MRP32" s="17"/>
      <c r="MRQ32" s="17"/>
      <c r="MRR32" s="17"/>
      <c r="MRS32" s="17"/>
      <c r="MRT32" s="17"/>
      <c r="MRU32" s="17"/>
      <c r="MRV32" s="17"/>
      <c r="MRW32" s="17"/>
      <c r="MRX32" s="17"/>
      <c r="MRY32" s="17"/>
      <c r="MRZ32" s="17"/>
      <c r="MSA32" s="17"/>
      <c r="MSB32" s="17"/>
      <c r="MSC32" s="17"/>
      <c r="MSD32" s="17"/>
      <c r="MSE32" s="17"/>
      <c r="MSF32" s="17"/>
      <c r="MSG32" s="17"/>
      <c r="MSH32" s="17"/>
      <c r="MSI32" s="17"/>
      <c r="MSJ32" s="17"/>
      <c r="MSK32" s="17"/>
      <c r="MSL32" s="17"/>
      <c r="MSM32" s="17"/>
      <c r="MSN32" s="17"/>
      <c r="MSO32" s="17"/>
      <c r="MSP32" s="17"/>
      <c r="MSQ32" s="17"/>
      <c r="MSR32" s="17"/>
      <c r="MSS32" s="17"/>
      <c r="MST32" s="17"/>
      <c r="MSU32" s="17"/>
      <c r="MSV32" s="17"/>
      <c r="MSW32" s="17"/>
      <c r="MSX32" s="17"/>
      <c r="MSY32" s="17"/>
      <c r="MSZ32" s="17"/>
      <c r="MTA32" s="17"/>
      <c r="MTB32" s="17"/>
      <c r="MTC32" s="17"/>
      <c r="MTD32" s="17"/>
      <c r="MTE32" s="17"/>
      <c r="MTF32" s="17"/>
      <c r="MTG32" s="17"/>
      <c r="MTH32" s="17"/>
      <c r="MTI32" s="17"/>
      <c r="MTJ32" s="17"/>
      <c r="MTK32" s="17"/>
      <c r="MTL32" s="17"/>
      <c r="MTM32" s="17"/>
      <c r="MTN32" s="17"/>
      <c r="MTO32" s="17"/>
      <c r="MTP32" s="17"/>
      <c r="MTQ32" s="17"/>
      <c r="MTR32" s="17"/>
      <c r="MTS32" s="17"/>
      <c r="MTT32" s="17"/>
      <c r="MTU32" s="17"/>
      <c r="MTV32" s="17"/>
      <c r="MTW32" s="17"/>
      <c r="MTX32" s="17"/>
      <c r="MTY32" s="17"/>
      <c r="MTZ32" s="17"/>
      <c r="MUA32" s="17"/>
      <c r="MUB32" s="17"/>
      <c r="MUC32" s="17"/>
      <c r="MUD32" s="17"/>
      <c r="MUE32" s="17"/>
      <c r="MUF32" s="17"/>
      <c r="MUG32" s="17"/>
      <c r="MUH32" s="17"/>
      <c r="MUI32" s="17"/>
      <c r="MUJ32" s="17"/>
      <c r="MUK32" s="17"/>
      <c r="MUL32" s="17"/>
      <c r="MUM32" s="17"/>
      <c r="MUN32" s="17"/>
      <c r="MUO32" s="17"/>
      <c r="MUP32" s="17"/>
      <c r="MUQ32" s="17"/>
      <c r="MUR32" s="17"/>
      <c r="MUS32" s="17"/>
      <c r="MUT32" s="17"/>
      <c r="MUU32" s="17"/>
      <c r="MUV32" s="17"/>
      <c r="MUW32" s="17"/>
      <c r="MUX32" s="17"/>
      <c r="MUY32" s="17"/>
      <c r="MUZ32" s="17"/>
      <c r="MVA32" s="17"/>
      <c r="MVB32" s="17"/>
      <c r="MVC32" s="17"/>
      <c r="MVD32" s="17"/>
      <c r="MVE32" s="17"/>
      <c r="MVF32" s="17"/>
      <c r="MVG32" s="17"/>
      <c r="MVH32" s="17"/>
      <c r="MVI32" s="17"/>
      <c r="MVJ32" s="17"/>
      <c r="MVK32" s="17"/>
      <c r="MVL32" s="17"/>
      <c r="MVM32" s="17"/>
      <c r="MVN32" s="17"/>
      <c r="MVO32" s="17"/>
      <c r="MVP32" s="17"/>
      <c r="MVQ32" s="17"/>
      <c r="MVR32" s="17"/>
      <c r="MVS32" s="17"/>
      <c r="MVT32" s="17"/>
      <c r="MVU32" s="17"/>
      <c r="MVV32" s="17"/>
      <c r="MVW32" s="17"/>
      <c r="MVX32" s="17"/>
      <c r="MVY32" s="17"/>
      <c r="MVZ32" s="17"/>
      <c r="MWA32" s="17"/>
      <c r="MWB32" s="17"/>
      <c r="MWC32" s="17"/>
      <c r="MWD32" s="17"/>
      <c r="MWE32" s="17"/>
      <c r="MWF32" s="17"/>
      <c r="MWG32" s="17"/>
      <c r="MWH32" s="17"/>
      <c r="MWI32" s="17"/>
      <c r="MWJ32" s="17"/>
      <c r="MWK32" s="17"/>
      <c r="MWL32" s="17"/>
      <c r="MWM32" s="17"/>
      <c r="MWN32" s="17"/>
      <c r="MWO32" s="17"/>
      <c r="MWP32" s="17"/>
      <c r="MWQ32" s="17"/>
      <c r="MWR32" s="17"/>
      <c r="MWS32" s="17"/>
      <c r="MWT32" s="17"/>
      <c r="MWU32" s="17"/>
      <c r="MWV32" s="17"/>
      <c r="MWW32" s="17"/>
      <c r="MWX32" s="17"/>
      <c r="MWY32" s="17"/>
      <c r="MWZ32" s="17"/>
      <c r="MXA32" s="17"/>
      <c r="MXB32" s="17"/>
      <c r="MXC32" s="17"/>
      <c r="MXD32" s="17"/>
      <c r="MXE32" s="17"/>
      <c r="MXF32" s="17"/>
      <c r="MXG32" s="17"/>
      <c r="MXH32" s="17"/>
      <c r="MXI32" s="17"/>
      <c r="MXJ32" s="17"/>
      <c r="MXK32" s="17"/>
      <c r="MXL32" s="17"/>
      <c r="MXM32" s="17"/>
      <c r="MXN32" s="17"/>
      <c r="MXO32" s="17"/>
      <c r="MXP32" s="17"/>
      <c r="MXQ32" s="17"/>
      <c r="MXR32" s="17"/>
      <c r="MXS32" s="17"/>
      <c r="MXT32" s="17"/>
      <c r="MXU32" s="17"/>
      <c r="MXV32" s="17"/>
      <c r="MXW32" s="17"/>
      <c r="MXX32" s="17"/>
      <c r="MXY32" s="17"/>
      <c r="MXZ32" s="17"/>
      <c r="MYA32" s="17"/>
      <c r="MYB32" s="17"/>
      <c r="MYC32" s="17"/>
      <c r="MYD32" s="17"/>
      <c r="MYE32" s="17"/>
      <c r="MYF32" s="17"/>
      <c r="MYG32" s="17"/>
      <c r="MYH32" s="17"/>
      <c r="MYI32" s="17"/>
      <c r="MYJ32" s="17"/>
      <c r="MYK32" s="17"/>
      <c r="MYL32" s="17"/>
      <c r="MYM32" s="17"/>
      <c r="MYN32" s="17"/>
      <c r="MYO32" s="17"/>
      <c r="MYP32" s="17"/>
      <c r="MYQ32" s="17"/>
      <c r="MYR32" s="17"/>
      <c r="MYS32" s="17"/>
      <c r="MYT32" s="17"/>
      <c r="MYU32" s="17"/>
      <c r="MYV32" s="17"/>
      <c r="MYW32" s="17"/>
      <c r="MYX32" s="17"/>
      <c r="MYY32" s="17"/>
      <c r="MYZ32" s="17"/>
      <c r="MZA32" s="17"/>
      <c r="MZB32" s="17"/>
      <c r="MZC32" s="17"/>
      <c r="MZD32" s="17"/>
      <c r="MZE32" s="17"/>
      <c r="MZF32" s="17"/>
      <c r="MZG32" s="17"/>
      <c r="MZH32" s="17"/>
      <c r="MZI32" s="17"/>
      <c r="MZJ32" s="17"/>
      <c r="MZK32" s="17"/>
      <c r="MZL32" s="17"/>
      <c r="MZM32" s="17"/>
      <c r="MZN32" s="17"/>
      <c r="MZO32" s="17"/>
      <c r="MZP32" s="17"/>
      <c r="MZQ32" s="17"/>
      <c r="MZR32" s="17"/>
      <c r="MZS32" s="17"/>
      <c r="MZT32" s="17"/>
      <c r="MZU32" s="17"/>
      <c r="MZV32" s="17"/>
      <c r="MZW32" s="17"/>
      <c r="MZX32" s="17"/>
      <c r="MZY32" s="17"/>
      <c r="MZZ32" s="17"/>
      <c r="NAA32" s="17"/>
      <c r="NAB32" s="17"/>
      <c r="NAC32" s="17"/>
      <c r="NAD32" s="17"/>
      <c r="NAE32" s="17"/>
      <c r="NAF32" s="17"/>
      <c r="NAG32" s="17"/>
      <c r="NAH32" s="17"/>
      <c r="NAI32" s="17"/>
      <c r="NAJ32" s="17"/>
      <c r="NAK32" s="17"/>
      <c r="NAL32" s="17"/>
      <c r="NAM32" s="17"/>
      <c r="NAN32" s="17"/>
      <c r="NAO32" s="17"/>
      <c r="NAP32" s="17"/>
      <c r="NAQ32" s="17"/>
      <c r="NAR32" s="17"/>
      <c r="NAS32" s="17"/>
      <c r="NAT32" s="17"/>
      <c r="NAU32" s="17"/>
      <c r="NAV32" s="17"/>
      <c r="NAW32" s="17"/>
      <c r="NAX32" s="17"/>
      <c r="NAY32" s="17"/>
      <c r="NAZ32" s="17"/>
      <c r="NBA32" s="17"/>
      <c r="NBB32" s="17"/>
      <c r="NBC32" s="17"/>
      <c r="NBD32" s="17"/>
      <c r="NBE32" s="17"/>
      <c r="NBF32" s="17"/>
      <c r="NBG32" s="17"/>
      <c r="NBH32" s="17"/>
      <c r="NBI32" s="17"/>
      <c r="NBJ32" s="17"/>
      <c r="NBK32" s="17"/>
      <c r="NBL32" s="17"/>
      <c r="NBM32" s="17"/>
      <c r="NBN32" s="17"/>
      <c r="NBO32" s="17"/>
      <c r="NBP32" s="17"/>
      <c r="NBQ32" s="17"/>
      <c r="NBR32" s="17"/>
      <c r="NBS32" s="17"/>
      <c r="NBT32" s="17"/>
      <c r="NBU32" s="17"/>
      <c r="NBV32" s="17"/>
      <c r="NBW32" s="17"/>
      <c r="NBX32" s="17"/>
      <c r="NBY32" s="17"/>
      <c r="NBZ32" s="17"/>
      <c r="NCA32" s="17"/>
      <c r="NCB32" s="17"/>
      <c r="NCC32" s="17"/>
      <c r="NCD32" s="17"/>
      <c r="NCE32" s="17"/>
      <c r="NCF32" s="17"/>
      <c r="NCG32" s="17"/>
      <c r="NCH32" s="17"/>
      <c r="NCI32" s="17"/>
      <c r="NCJ32" s="17"/>
      <c r="NCK32" s="17"/>
      <c r="NCL32" s="17"/>
      <c r="NCM32" s="17"/>
      <c r="NCN32" s="17"/>
      <c r="NCO32" s="17"/>
      <c r="NCP32" s="17"/>
      <c r="NCQ32" s="17"/>
      <c r="NCR32" s="17"/>
      <c r="NCS32" s="17"/>
      <c r="NCT32" s="17"/>
      <c r="NCU32" s="17"/>
      <c r="NCV32" s="17"/>
      <c r="NCW32" s="17"/>
      <c r="NCX32" s="17"/>
      <c r="NCY32" s="17"/>
      <c r="NCZ32" s="17"/>
      <c r="NDA32" s="17"/>
      <c r="NDB32" s="17"/>
      <c r="NDC32" s="17"/>
      <c r="NDD32" s="17"/>
      <c r="NDE32" s="17"/>
      <c r="NDF32" s="17"/>
      <c r="NDG32" s="17"/>
      <c r="NDH32" s="17"/>
      <c r="NDI32" s="17"/>
      <c r="NDJ32" s="17"/>
      <c r="NDK32" s="17"/>
      <c r="NDL32" s="17"/>
      <c r="NDM32" s="17"/>
      <c r="NDN32" s="17"/>
      <c r="NDO32" s="17"/>
      <c r="NDP32" s="17"/>
      <c r="NDQ32" s="17"/>
      <c r="NDR32" s="17"/>
      <c r="NDS32" s="17"/>
      <c r="NDT32" s="17"/>
      <c r="NDU32" s="17"/>
      <c r="NDV32" s="17"/>
      <c r="NDW32" s="17"/>
      <c r="NDX32" s="17"/>
      <c r="NDY32" s="17"/>
      <c r="NDZ32" s="17"/>
      <c r="NEA32" s="17"/>
      <c r="NEB32" s="17"/>
      <c r="NEC32" s="17"/>
      <c r="NED32" s="17"/>
      <c r="NEE32" s="17"/>
      <c r="NEF32" s="17"/>
      <c r="NEG32" s="17"/>
      <c r="NEH32" s="17"/>
      <c r="NEI32" s="17"/>
      <c r="NEJ32" s="17"/>
      <c r="NEK32" s="17"/>
      <c r="NEL32" s="17"/>
      <c r="NEM32" s="17"/>
      <c r="NEN32" s="17"/>
      <c r="NEO32" s="17"/>
      <c r="NEP32" s="17"/>
      <c r="NEQ32" s="17"/>
      <c r="NER32" s="17"/>
      <c r="NES32" s="17"/>
      <c r="NET32" s="17"/>
      <c r="NEU32" s="17"/>
      <c r="NEV32" s="17"/>
      <c r="NEW32" s="17"/>
      <c r="NEX32" s="17"/>
      <c r="NEY32" s="17"/>
      <c r="NEZ32" s="17"/>
      <c r="NFA32" s="17"/>
      <c r="NFB32" s="17"/>
      <c r="NFC32" s="17"/>
      <c r="NFD32" s="17"/>
      <c r="NFE32" s="17"/>
      <c r="NFF32" s="17"/>
      <c r="NFG32" s="17"/>
      <c r="NFH32" s="17"/>
      <c r="NFI32" s="17"/>
      <c r="NFJ32" s="17"/>
      <c r="NFK32" s="17"/>
      <c r="NFL32" s="17"/>
      <c r="NFM32" s="17"/>
      <c r="NFN32" s="17"/>
      <c r="NFO32" s="17"/>
      <c r="NFP32" s="17"/>
      <c r="NFQ32" s="17"/>
      <c r="NFR32" s="17"/>
      <c r="NFS32" s="17"/>
      <c r="NFT32" s="17"/>
      <c r="NFU32" s="17"/>
      <c r="NFV32" s="17"/>
      <c r="NFW32" s="17"/>
      <c r="NFX32" s="17"/>
      <c r="NFY32" s="17"/>
      <c r="NFZ32" s="17"/>
      <c r="NGA32" s="17"/>
      <c r="NGB32" s="17"/>
      <c r="NGC32" s="17"/>
      <c r="NGD32" s="17"/>
      <c r="NGE32" s="17"/>
      <c r="NGF32" s="17"/>
      <c r="NGG32" s="17"/>
      <c r="NGH32" s="17"/>
      <c r="NGI32" s="17"/>
      <c r="NGJ32" s="17"/>
      <c r="NGK32" s="17"/>
      <c r="NGL32" s="17"/>
      <c r="NGM32" s="17"/>
      <c r="NGN32" s="17"/>
      <c r="NGO32" s="17"/>
      <c r="NGP32" s="17"/>
      <c r="NGQ32" s="17"/>
      <c r="NGR32" s="17"/>
      <c r="NGS32" s="17"/>
      <c r="NGT32" s="17"/>
      <c r="NGU32" s="17"/>
      <c r="NGV32" s="17"/>
      <c r="NGW32" s="17"/>
      <c r="NGX32" s="17"/>
      <c r="NGY32" s="17"/>
      <c r="NGZ32" s="17"/>
      <c r="NHA32" s="17"/>
      <c r="NHB32" s="17"/>
      <c r="NHC32" s="17"/>
      <c r="NHD32" s="17"/>
      <c r="NHE32" s="17"/>
      <c r="NHF32" s="17"/>
      <c r="NHG32" s="17"/>
      <c r="NHH32" s="17"/>
      <c r="NHI32" s="17"/>
      <c r="NHJ32" s="17"/>
      <c r="NHK32" s="17"/>
      <c r="NHL32" s="17"/>
      <c r="NHM32" s="17"/>
      <c r="NHN32" s="17"/>
      <c r="NHO32" s="17"/>
      <c r="NHP32" s="17"/>
      <c r="NHQ32" s="17"/>
      <c r="NHR32" s="17"/>
      <c r="NHS32" s="17"/>
      <c r="NHT32" s="17"/>
      <c r="NHU32" s="17"/>
      <c r="NHV32" s="17"/>
      <c r="NHW32" s="17"/>
      <c r="NHX32" s="17"/>
      <c r="NHY32" s="17"/>
      <c r="NHZ32" s="17"/>
      <c r="NIA32" s="17"/>
      <c r="NIB32" s="17"/>
      <c r="NIC32" s="17"/>
      <c r="NID32" s="17"/>
      <c r="NIE32" s="17"/>
      <c r="NIF32" s="17"/>
      <c r="NIG32" s="17"/>
      <c r="NIH32" s="17"/>
      <c r="NII32" s="17"/>
      <c r="NIJ32" s="17"/>
      <c r="NIK32" s="17"/>
      <c r="NIL32" s="17"/>
      <c r="NIM32" s="17"/>
      <c r="NIN32" s="17"/>
      <c r="NIO32" s="17"/>
      <c r="NIP32" s="17"/>
      <c r="NIQ32" s="17"/>
      <c r="NIR32" s="17"/>
      <c r="NIS32" s="17"/>
      <c r="NIT32" s="17"/>
      <c r="NIU32" s="17"/>
      <c r="NIV32" s="17"/>
      <c r="NIW32" s="17"/>
      <c r="NIX32" s="17"/>
      <c r="NIY32" s="17"/>
      <c r="NIZ32" s="17"/>
      <c r="NJA32" s="17"/>
      <c r="NJB32" s="17"/>
      <c r="NJC32" s="17"/>
      <c r="NJD32" s="17"/>
      <c r="NJE32" s="17"/>
      <c r="NJF32" s="17"/>
      <c r="NJG32" s="17"/>
      <c r="NJH32" s="17"/>
      <c r="NJI32" s="17"/>
      <c r="NJJ32" s="17"/>
      <c r="NJK32" s="17"/>
      <c r="NJL32" s="17"/>
      <c r="NJM32" s="17"/>
      <c r="NJN32" s="17"/>
      <c r="NJO32" s="17"/>
      <c r="NJP32" s="17"/>
      <c r="NJQ32" s="17"/>
      <c r="NJR32" s="17"/>
      <c r="NJS32" s="17"/>
      <c r="NJT32" s="17"/>
      <c r="NJU32" s="17"/>
      <c r="NJV32" s="17"/>
      <c r="NJW32" s="17"/>
      <c r="NJX32" s="17"/>
      <c r="NJY32" s="17"/>
      <c r="NJZ32" s="17"/>
      <c r="NKA32" s="17"/>
      <c r="NKB32" s="17"/>
      <c r="NKC32" s="17"/>
      <c r="NKD32" s="17"/>
      <c r="NKE32" s="17"/>
      <c r="NKF32" s="17"/>
      <c r="NKG32" s="17"/>
      <c r="NKH32" s="17"/>
      <c r="NKI32" s="17"/>
      <c r="NKJ32" s="17"/>
      <c r="NKK32" s="17"/>
      <c r="NKL32" s="17"/>
      <c r="NKM32" s="17"/>
      <c r="NKN32" s="17"/>
      <c r="NKO32" s="17"/>
      <c r="NKP32" s="17"/>
      <c r="NKQ32" s="17"/>
      <c r="NKR32" s="17"/>
      <c r="NKS32" s="17"/>
      <c r="NKT32" s="17"/>
      <c r="NKU32" s="17"/>
      <c r="NKV32" s="17"/>
      <c r="NKW32" s="17"/>
      <c r="NKX32" s="17"/>
      <c r="NKY32" s="17"/>
      <c r="NKZ32" s="17"/>
      <c r="NLA32" s="17"/>
      <c r="NLB32" s="17"/>
      <c r="NLC32" s="17"/>
      <c r="NLD32" s="17"/>
      <c r="NLE32" s="17"/>
      <c r="NLF32" s="17"/>
      <c r="NLG32" s="17"/>
      <c r="NLH32" s="17"/>
      <c r="NLI32" s="17"/>
      <c r="NLJ32" s="17"/>
      <c r="NLK32" s="17"/>
      <c r="NLL32" s="17"/>
      <c r="NLM32" s="17"/>
      <c r="NLN32" s="17"/>
      <c r="NLO32" s="17"/>
      <c r="NLP32" s="17"/>
      <c r="NLQ32" s="17"/>
      <c r="NLR32" s="17"/>
      <c r="NLS32" s="17"/>
      <c r="NLT32" s="17"/>
      <c r="NLU32" s="17"/>
      <c r="NLV32" s="17"/>
      <c r="NLW32" s="17"/>
      <c r="NLX32" s="17"/>
      <c r="NLY32" s="17"/>
      <c r="NLZ32" s="17"/>
      <c r="NMA32" s="17"/>
      <c r="NMB32" s="17"/>
      <c r="NMC32" s="17"/>
      <c r="NMD32" s="17"/>
      <c r="NME32" s="17"/>
      <c r="NMF32" s="17"/>
      <c r="NMG32" s="17"/>
      <c r="NMH32" s="17"/>
      <c r="NMI32" s="17"/>
      <c r="NMJ32" s="17"/>
      <c r="NMK32" s="17"/>
      <c r="NML32" s="17"/>
      <c r="NMM32" s="17"/>
      <c r="NMN32" s="17"/>
      <c r="NMO32" s="17"/>
      <c r="NMP32" s="17"/>
      <c r="NMQ32" s="17"/>
      <c r="NMR32" s="17"/>
      <c r="NMS32" s="17"/>
      <c r="NMT32" s="17"/>
      <c r="NMU32" s="17"/>
      <c r="NMV32" s="17"/>
      <c r="NMW32" s="17"/>
      <c r="NMX32" s="17"/>
      <c r="NMY32" s="17"/>
      <c r="NMZ32" s="17"/>
      <c r="NNA32" s="17"/>
      <c r="NNB32" s="17"/>
      <c r="NNC32" s="17"/>
      <c r="NND32" s="17"/>
      <c r="NNE32" s="17"/>
      <c r="NNF32" s="17"/>
      <c r="NNG32" s="17"/>
      <c r="NNH32" s="17"/>
      <c r="NNI32" s="17"/>
      <c r="NNJ32" s="17"/>
      <c r="NNK32" s="17"/>
      <c r="NNL32" s="17"/>
      <c r="NNM32" s="17"/>
      <c r="NNN32" s="17"/>
      <c r="NNO32" s="17"/>
      <c r="NNP32" s="17"/>
      <c r="NNQ32" s="17"/>
      <c r="NNR32" s="17"/>
      <c r="NNS32" s="17"/>
      <c r="NNT32" s="17"/>
      <c r="NNU32" s="17"/>
      <c r="NNV32" s="17"/>
      <c r="NNW32" s="17"/>
      <c r="NNX32" s="17"/>
      <c r="NNY32" s="17"/>
      <c r="NNZ32" s="17"/>
      <c r="NOA32" s="17"/>
      <c r="NOB32" s="17"/>
      <c r="NOC32" s="17"/>
      <c r="NOD32" s="17"/>
      <c r="NOE32" s="17"/>
      <c r="NOF32" s="17"/>
      <c r="NOG32" s="17"/>
      <c r="NOH32" s="17"/>
      <c r="NOI32" s="17"/>
      <c r="NOJ32" s="17"/>
      <c r="NOK32" s="17"/>
      <c r="NOL32" s="17"/>
      <c r="NOM32" s="17"/>
      <c r="NON32" s="17"/>
      <c r="NOO32" s="17"/>
      <c r="NOP32" s="17"/>
      <c r="NOQ32" s="17"/>
      <c r="NOR32" s="17"/>
      <c r="NOS32" s="17"/>
      <c r="NOT32" s="17"/>
      <c r="NOU32" s="17"/>
      <c r="NOV32" s="17"/>
      <c r="NOW32" s="17"/>
      <c r="NOX32" s="17"/>
      <c r="NOY32" s="17"/>
      <c r="NOZ32" s="17"/>
      <c r="NPA32" s="17"/>
      <c r="NPB32" s="17"/>
      <c r="NPC32" s="17"/>
      <c r="NPD32" s="17"/>
      <c r="NPE32" s="17"/>
      <c r="NPF32" s="17"/>
      <c r="NPG32" s="17"/>
      <c r="NPH32" s="17"/>
      <c r="NPI32" s="17"/>
      <c r="NPJ32" s="17"/>
      <c r="NPK32" s="17"/>
      <c r="NPL32" s="17"/>
      <c r="NPM32" s="17"/>
      <c r="NPN32" s="17"/>
      <c r="NPO32" s="17"/>
      <c r="NPP32" s="17"/>
      <c r="NPQ32" s="17"/>
      <c r="NPR32" s="17"/>
      <c r="NPS32" s="17"/>
      <c r="NPT32" s="17"/>
      <c r="NPU32" s="17"/>
      <c r="NPV32" s="17"/>
      <c r="NPW32" s="17"/>
      <c r="NPX32" s="17"/>
      <c r="NPY32" s="17"/>
      <c r="NPZ32" s="17"/>
      <c r="NQA32" s="17"/>
      <c r="NQB32" s="17"/>
      <c r="NQC32" s="17"/>
      <c r="NQD32" s="17"/>
      <c r="NQE32" s="17"/>
      <c r="NQF32" s="17"/>
      <c r="NQG32" s="17"/>
      <c r="NQH32" s="17"/>
      <c r="NQI32" s="17"/>
      <c r="NQJ32" s="17"/>
      <c r="NQK32" s="17"/>
      <c r="NQL32" s="17"/>
      <c r="NQM32" s="17"/>
      <c r="NQN32" s="17"/>
      <c r="NQO32" s="17"/>
      <c r="NQP32" s="17"/>
      <c r="NQQ32" s="17"/>
      <c r="NQR32" s="17"/>
      <c r="NQS32" s="17"/>
      <c r="NQT32" s="17"/>
      <c r="NQU32" s="17"/>
      <c r="NQV32" s="17"/>
      <c r="NQW32" s="17"/>
      <c r="NQX32" s="17"/>
      <c r="NQY32" s="17"/>
      <c r="NQZ32" s="17"/>
      <c r="NRA32" s="17"/>
      <c r="NRB32" s="17"/>
      <c r="NRC32" s="17"/>
      <c r="NRD32" s="17"/>
      <c r="NRE32" s="17"/>
      <c r="NRF32" s="17"/>
      <c r="NRG32" s="17"/>
      <c r="NRH32" s="17"/>
      <c r="NRI32" s="17"/>
      <c r="NRJ32" s="17"/>
      <c r="NRK32" s="17"/>
      <c r="NRL32" s="17"/>
      <c r="NRM32" s="17"/>
      <c r="NRN32" s="17"/>
      <c r="NRO32" s="17"/>
      <c r="NRP32" s="17"/>
      <c r="NRQ32" s="17"/>
      <c r="NRR32" s="17"/>
      <c r="NRS32" s="17"/>
      <c r="NRT32" s="17"/>
      <c r="NRU32" s="17"/>
      <c r="NRV32" s="17"/>
      <c r="NRW32" s="17"/>
      <c r="NRX32" s="17"/>
      <c r="NRY32" s="17"/>
      <c r="NRZ32" s="17"/>
      <c r="NSA32" s="17"/>
      <c r="NSB32" s="17"/>
      <c r="NSC32" s="17"/>
      <c r="NSD32" s="17"/>
      <c r="NSE32" s="17"/>
      <c r="NSF32" s="17"/>
      <c r="NSG32" s="17"/>
      <c r="NSH32" s="17"/>
      <c r="NSI32" s="17"/>
      <c r="NSJ32" s="17"/>
      <c r="NSK32" s="17"/>
      <c r="NSL32" s="17"/>
      <c r="NSM32" s="17"/>
      <c r="NSN32" s="17"/>
      <c r="NSO32" s="17"/>
      <c r="NSP32" s="17"/>
      <c r="NSQ32" s="17"/>
      <c r="NSR32" s="17"/>
      <c r="NSS32" s="17"/>
      <c r="NST32" s="17"/>
      <c r="NSU32" s="17"/>
      <c r="NSV32" s="17"/>
      <c r="NSW32" s="17"/>
      <c r="NSX32" s="17"/>
      <c r="NSY32" s="17"/>
      <c r="NSZ32" s="17"/>
      <c r="NTA32" s="17"/>
      <c r="NTB32" s="17"/>
      <c r="NTC32" s="17"/>
      <c r="NTD32" s="17"/>
      <c r="NTE32" s="17"/>
      <c r="NTF32" s="17"/>
      <c r="NTG32" s="17"/>
      <c r="NTH32" s="17"/>
      <c r="NTI32" s="17"/>
      <c r="NTJ32" s="17"/>
      <c r="NTK32" s="17"/>
      <c r="NTL32" s="17"/>
      <c r="NTM32" s="17"/>
      <c r="NTN32" s="17"/>
      <c r="NTO32" s="17"/>
      <c r="NTP32" s="17"/>
      <c r="NTQ32" s="17"/>
      <c r="NTR32" s="17"/>
      <c r="NTS32" s="17"/>
      <c r="NTT32" s="17"/>
      <c r="NTU32" s="17"/>
      <c r="NTV32" s="17"/>
      <c r="NTW32" s="17"/>
      <c r="NTX32" s="17"/>
      <c r="NTY32" s="17"/>
      <c r="NTZ32" s="17"/>
      <c r="NUA32" s="17"/>
      <c r="NUB32" s="17"/>
      <c r="NUC32" s="17"/>
      <c r="NUD32" s="17"/>
      <c r="NUE32" s="17"/>
      <c r="NUF32" s="17"/>
      <c r="NUG32" s="17"/>
      <c r="NUH32" s="17"/>
      <c r="NUI32" s="17"/>
      <c r="NUJ32" s="17"/>
      <c r="NUK32" s="17"/>
      <c r="NUL32" s="17"/>
      <c r="NUM32" s="17"/>
      <c r="NUN32" s="17"/>
      <c r="NUO32" s="17"/>
      <c r="NUP32" s="17"/>
      <c r="NUQ32" s="17"/>
      <c r="NUR32" s="17"/>
      <c r="NUS32" s="17"/>
      <c r="NUT32" s="17"/>
      <c r="NUU32" s="17"/>
      <c r="NUV32" s="17"/>
      <c r="NUW32" s="17"/>
      <c r="NUX32" s="17"/>
      <c r="NUY32" s="17"/>
      <c r="NUZ32" s="17"/>
      <c r="NVA32" s="17"/>
      <c r="NVB32" s="17"/>
      <c r="NVC32" s="17"/>
      <c r="NVD32" s="17"/>
      <c r="NVE32" s="17"/>
      <c r="NVF32" s="17"/>
      <c r="NVG32" s="17"/>
      <c r="NVH32" s="17"/>
      <c r="NVI32" s="17"/>
      <c r="NVJ32" s="17"/>
      <c r="NVK32" s="17"/>
      <c r="NVL32" s="17"/>
      <c r="NVM32" s="17"/>
      <c r="NVN32" s="17"/>
      <c r="NVO32" s="17"/>
      <c r="NVP32" s="17"/>
      <c r="NVQ32" s="17"/>
      <c r="NVR32" s="17"/>
      <c r="NVS32" s="17"/>
      <c r="NVT32" s="17"/>
      <c r="NVU32" s="17"/>
      <c r="NVV32" s="17"/>
      <c r="NVW32" s="17"/>
      <c r="NVX32" s="17"/>
      <c r="NVY32" s="17"/>
      <c r="NVZ32" s="17"/>
      <c r="NWA32" s="17"/>
      <c r="NWB32" s="17"/>
      <c r="NWC32" s="17"/>
      <c r="NWD32" s="17"/>
      <c r="NWE32" s="17"/>
      <c r="NWF32" s="17"/>
      <c r="NWG32" s="17"/>
      <c r="NWH32" s="17"/>
      <c r="NWI32" s="17"/>
      <c r="NWJ32" s="17"/>
      <c r="NWK32" s="17"/>
      <c r="NWL32" s="17"/>
      <c r="NWM32" s="17"/>
      <c r="NWN32" s="17"/>
      <c r="NWO32" s="17"/>
      <c r="NWP32" s="17"/>
      <c r="NWQ32" s="17"/>
      <c r="NWR32" s="17"/>
      <c r="NWS32" s="17"/>
      <c r="NWT32" s="17"/>
      <c r="NWU32" s="17"/>
      <c r="NWV32" s="17"/>
      <c r="NWW32" s="17"/>
      <c r="NWX32" s="17"/>
      <c r="NWY32" s="17"/>
      <c r="NWZ32" s="17"/>
      <c r="NXA32" s="17"/>
      <c r="NXB32" s="17"/>
      <c r="NXC32" s="17"/>
      <c r="NXD32" s="17"/>
      <c r="NXE32" s="17"/>
      <c r="NXF32" s="17"/>
      <c r="NXG32" s="17"/>
      <c r="NXH32" s="17"/>
      <c r="NXI32" s="17"/>
      <c r="NXJ32" s="17"/>
      <c r="NXK32" s="17"/>
      <c r="NXL32" s="17"/>
      <c r="NXM32" s="17"/>
      <c r="NXN32" s="17"/>
      <c r="NXO32" s="17"/>
      <c r="NXP32" s="17"/>
      <c r="NXQ32" s="17"/>
      <c r="NXR32" s="17"/>
      <c r="NXS32" s="17"/>
      <c r="NXT32" s="17"/>
      <c r="NXU32" s="17"/>
      <c r="NXV32" s="17"/>
      <c r="NXW32" s="17"/>
      <c r="NXX32" s="17"/>
      <c r="NXY32" s="17"/>
      <c r="NXZ32" s="17"/>
      <c r="NYA32" s="17"/>
      <c r="NYB32" s="17"/>
      <c r="NYC32" s="17"/>
      <c r="NYD32" s="17"/>
      <c r="NYE32" s="17"/>
      <c r="NYF32" s="17"/>
      <c r="NYG32" s="17"/>
      <c r="NYH32" s="17"/>
      <c r="NYI32" s="17"/>
      <c r="NYJ32" s="17"/>
      <c r="NYK32" s="17"/>
      <c r="NYL32" s="17"/>
      <c r="NYM32" s="17"/>
      <c r="NYN32" s="17"/>
      <c r="NYO32" s="17"/>
      <c r="NYP32" s="17"/>
      <c r="NYQ32" s="17"/>
      <c r="NYR32" s="17"/>
      <c r="NYS32" s="17"/>
      <c r="NYT32" s="17"/>
      <c r="NYU32" s="17"/>
      <c r="NYV32" s="17"/>
      <c r="NYW32" s="17"/>
      <c r="NYX32" s="17"/>
      <c r="NYY32" s="17"/>
      <c r="NYZ32" s="17"/>
      <c r="NZA32" s="17"/>
      <c r="NZB32" s="17"/>
      <c r="NZC32" s="17"/>
      <c r="NZD32" s="17"/>
      <c r="NZE32" s="17"/>
      <c r="NZF32" s="17"/>
      <c r="NZG32" s="17"/>
      <c r="NZH32" s="17"/>
      <c r="NZI32" s="17"/>
      <c r="NZJ32" s="17"/>
      <c r="NZK32" s="17"/>
      <c r="NZL32" s="17"/>
      <c r="NZM32" s="17"/>
      <c r="NZN32" s="17"/>
      <c r="NZO32" s="17"/>
      <c r="NZP32" s="17"/>
      <c r="NZQ32" s="17"/>
      <c r="NZR32" s="17"/>
      <c r="NZS32" s="17"/>
      <c r="NZT32" s="17"/>
      <c r="NZU32" s="17"/>
      <c r="NZV32" s="17"/>
      <c r="NZW32" s="17"/>
      <c r="NZX32" s="17"/>
      <c r="NZY32" s="17"/>
      <c r="NZZ32" s="17"/>
      <c r="OAA32" s="17"/>
      <c r="OAB32" s="17"/>
      <c r="OAC32" s="17"/>
      <c r="OAD32" s="17"/>
      <c r="OAE32" s="17"/>
      <c r="OAF32" s="17"/>
      <c r="OAG32" s="17"/>
      <c r="OAH32" s="17"/>
      <c r="OAI32" s="17"/>
      <c r="OAJ32" s="17"/>
      <c r="OAK32" s="17"/>
      <c r="OAL32" s="17"/>
      <c r="OAM32" s="17"/>
      <c r="OAN32" s="17"/>
      <c r="OAO32" s="17"/>
      <c r="OAP32" s="17"/>
      <c r="OAQ32" s="17"/>
      <c r="OAR32" s="17"/>
      <c r="OAS32" s="17"/>
      <c r="OAT32" s="17"/>
      <c r="OAU32" s="17"/>
      <c r="OAV32" s="17"/>
      <c r="OAW32" s="17"/>
      <c r="OAX32" s="17"/>
      <c r="OAY32" s="17"/>
      <c r="OAZ32" s="17"/>
      <c r="OBA32" s="17"/>
      <c r="OBB32" s="17"/>
      <c r="OBC32" s="17"/>
      <c r="OBD32" s="17"/>
      <c r="OBE32" s="17"/>
      <c r="OBF32" s="17"/>
      <c r="OBG32" s="17"/>
      <c r="OBH32" s="17"/>
      <c r="OBI32" s="17"/>
      <c r="OBJ32" s="17"/>
      <c r="OBK32" s="17"/>
      <c r="OBL32" s="17"/>
      <c r="OBM32" s="17"/>
      <c r="OBN32" s="17"/>
      <c r="OBO32" s="17"/>
      <c r="OBP32" s="17"/>
      <c r="OBQ32" s="17"/>
      <c r="OBR32" s="17"/>
      <c r="OBS32" s="17"/>
      <c r="OBT32" s="17"/>
      <c r="OBU32" s="17"/>
      <c r="OBV32" s="17"/>
      <c r="OBW32" s="17"/>
      <c r="OBX32" s="17"/>
      <c r="OBY32" s="17"/>
      <c r="OBZ32" s="17"/>
      <c r="OCA32" s="17"/>
      <c r="OCB32" s="17"/>
      <c r="OCC32" s="17"/>
      <c r="OCD32" s="17"/>
      <c r="OCE32" s="17"/>
      <c r="OCF32" s="17"/>
      <c r="OCG32" s="17"/>
      <c r="OCH32" s="17"/>
      <c r="OCI32" s="17"/>
      <c r="OCJ32" s="17"/>
      <c r="OCK32" s="17"/>
      <c r="OCL32" s="17"/>
      <c r="OCM32" s="17"/>
      <c r="OCN32" s="17"/>
      <c r="OCO32" s="17"/>
      <c r="OCP32" s="17"/>
      <c r="OCQ32" s="17"/>
      <c r="OCR32" s="17"/>
      <c r="OCS32" s="17"/>
      <c r="OCT32" s="17"/>
      <c r="OCU32" s="17"/>
      <c r="OCV32" s="17"/>
      <c r="OCW32" s="17"/>
      <c r="OCX32" s="17"/>
      <c r="OCY32" s="17"/>
      <c r="OCZ32" s="17"/>
      <c r="ODA32" s="17"/>
      <c r="ODB32" s="17"/>
      <c r="ODC32" s="17"/>
      <c r="ODD32" s="17"/>
      <c r="ODE32" s="17"/>
      <c r="ODF32" s="17"/>
      <c r="ODG32" s="17"/>
      <c r="ODH32" s="17"/>
      <c r="ODI32" s="17"/>
      <c r="ODJ32" s="17"/>
      <c r="ODK32" s="17"/>
      <c r="ODL32" s="17"/>
      <c r="ODM32" s="17"/>
      <c r="ODN32" s="17"/>
      <c r="ODO32" s="17"/>
      <c r="ODP32" s="17"/>
      <c r="ODQ32" s="17"/>
      <c r="ODR32" s="17"/>
      <c r="ODS32" s="17"/>
      <c r="ODT32" s="17"/>
      <c r="ODU32" s="17"/>
      <c r="ODV32" s="17"/>
      <c r="ODW32" s="17"/>
      <c r="ODX32" s="17"/>
      <c r="ODY32" s="17"/>
      <c r="ODZ32" s="17"/>
      <c r="OEA32" s="17"/>
      <c r="OEB32" s="17"/>
      <c r="OEC32" s="17"/>
      <c r="OED32" s="17"/>
      <c r="OEE32" s="17"/>
      <c r="OEF32" s="17"/>
      <c r="OEG32" s="17"/>
      <c r="OEH32" s="17"/>
      <c r="OEI32" s="17"/>
      <c r="OEJ32" s="17"/>
      <c r="OEK32" s="17"/>
      <c r="OEL32" s="17"/>
      <c r="OEM32" s="17"/>
      <c r="OEN32" s="17"/>
      <c r="OEO32" s="17"/>
      <c r="OEP32" s="17"/>
      <c r="OEQ32" s="17"/>
      <c r="OER32" s="17"/>
      <c r="OES32" s="17"/>
      <c r="OET32" s="17"/>
      <c r="OEU32" s="17"/>
      <c r="OEV32" s="17"/>
      <c r="OEW32" s="17"/>
      <c r="OEX32" s="17"/>
      <c r="OEY32" s="17"/>
      <c r="OEZ32" s="17"/>
      <c r="OFA32" s="17"/>
      <c r="OFB32" s="17"/>
      <c r="OFC32" s="17"/>
      <c r="OFD32" s="17"/>
      <c r="OFE32" s="17"/>
      <c r="OFF32" s="17"/>
      <c r="OFG32" s="17"/>
      <c r="OFH32" s="17"/>
      <c r="OFI32" s="17"/>
      <c r="OFJ32" s="17"/>
      <c r="OFK32" s="17"/>
      <c r="OFL32" s="17"/>
      <c r="OFM32" s="17"/>
      <c r="OFN32" s="17"/>
      <c r="OFO32" s="17"/>
      <c r="OFP32" s="17"/>
      <c r="OFQ32" s="17"/>
      <c r="OFR32" s="17"/>
      <c r="OFS32" s="17"/>
      <c r="OFT32" s="17"/>
      <c r="OFU32" s="17"/>
      <c r="OFV32" s="17"/>
      <c r="OFW32" s="17"/>
      <c r="OFX32" s="17"/>
      <c r="OFY32" s="17"/>
      <c r="OFZ32" s="17"/>
      <c r="OGA32" s="17"/>
      <c r="OGB32" s="17"/>
      <c r="OGC32" s="17"/>
      <c r="OGD32" s="17"/>
      <c r="OGE32" s="17"/>
      <c r="OGF32" s="17"/>
      <c r="OGG32" s="17"/>
      <c r="OGH32" s="17"/>
      <c r="OGI32" s="17"/>
      <c r="OGJ32" s="17"/>
      <c r="OGK32" s="17"/>
      <c r="OGL32" s="17"/>
      <c r="OGM32" s="17"/>
      <c r="OGN32" s="17"/>
      <c r="OGO32" s="17"/>
      <c r="OGP32" s="17"/>
      <c r="OGQ32" s="17"/>
      <c r="OGR32" s="17"/>
      <c r="OGS32" s="17"/>
      <c r="OGT32" s="17"/>
      <c r="OGU32" s="17"/>
      <c r="OGV32" s="17"/>
      <c r="OGW32" s="17"/>
      <c r="OGX32" s="17"/>
      <c r="OGY32" s="17"/>
      <c r="OGZ32" s="17"/>
      <c r="OHA32" s="17"/>
      <c r="OHB32" s="17"/>
      <c r="OHC32" s="17"/>
      <c r="OHD32" s="17"/>
      <c r="OHE32" s="17"/>
      <c r="OHF32" s="17"/>
      <c r="OHG32" s="17"/>
      <c r="OHH32" s="17"/>
      <c r="OHI32" s="17"/>
      <c r="OHJ32" s="17"/>
      <c r="OHK32" s="17"/>
      <c r="OHL32" s="17"/>
      <c r="OHM32" s="17"/>
      <c r="OHN32" s="17"/>
      <c r="OHO32" s="17"/>
      <c r="OHP32" s="17"/>
      <c r="OHQ32" s="17"/>
      <c r="OHR32" s="17"/>
      <c r="OHS32" s="17"/>
      <c r="OHT32" s="17"/>
      <c r="OHU32" s="17"/>
      <c r="OHV32" s="17"/>
      <c r="OHW32" s="17"/>
      <c r="OHX32" s="17"/>
      <c r="OHY32" s="17"/>
      <c r="OHZ32" s="17"/>
      <c r="OIA32" s="17"/>
      <c r="OIB32" s="17"/>
      <c r="OIC32" s="17"/>
      <c r="OID32" s="17"/>
      <c r="OIE32" s="17"/>
      <c r="OIF32" s="17"/>
      <c r="OIG32" s="17"/>
      <c r="OIH32" s="17"/>
      <c r="OII32" s="17"/>
      <c r="OIJ32" s="17"/>
      <c r="OIK32" s="17"/>
      <c r="OIL32" s="17"/>
      <c r="OIM32" s="17"/>
      <c r="OIN32" s="17"/>
      <c r="OIO32" s="17"/>
      <c r="OIP32" s="17"/>
      <c r="OIQ32" s="17"/>
      <c r="OIR32" s="17"/>
      <c r="OIS32" s="17"/>
      <c r="OIT32" s="17"/>
      <c r="OIU32" s="17"/>
      <c r="OIV32" s="17"/>
      <c r="OIW32" s="17"/>
      <c r="OIX32" s="17"/>
      <c r="OIY32" s="17"/>
      <c r="OIZ32" s="17"/>
      <c r="OJA32" s="17"/>
      <c r="OJB32" s="17"/>
      <c r="OJC32" s="17"/>
      <c r="OJD32" s="17"/>
      <c r="OJE32" s="17"/>
      <c r="OJF32" s="17"/>
      <c r="OJG32" s="17"/>
      <c r="OJH32" s="17"/>
      <c r="OJI32" s="17"/>
      <c r="OJJ32" s="17"/>
      <c r="OJK32" s="17"/>
      <c r="OJL32" s="17"/>
      <c r="OJM32" s="17"/>
      <c r="OJN32" s="17"/>
      <c r="OJO32" s="17"/>
      <c r="OJP32" s="17"/>
      <c r="OJQ32" s="17"/>
      <c r="OJR32" s="17"/>
      <c r="OJS32" s="17"/>
      <c r="OJT32" s="17"/>
      <c r="OJU32" s="17"/>
      <c r="OJV32" s="17"/>
      <c r="OJW32" s="17"/>
      <c r="OJX32" s="17"/>
      <c r="OJY32" s="17"/>
      <c r="OJZ32" s="17"/>
      <c r="OKA32" s="17"/>
      <c r="OKB32" s="17"/>
      <c r="OKC32" s="17"/>
      <c r="OKD32" s="17"/>
      <c r="OKE32" s="17"/>
      <c r="OKF32" s="17"/>
      <c r="OKG32" s="17"/>
      <c r="OKH32" s="17"/>
      <c r="OKI32" s="17"/>
      <c r="OKJ32" s="17"/>
      <c r="OKK32" s="17"/>
      <c r="OKL32" s="17"/>
      <c r="OKM32" s="17"/>
      <c r="OKN32" s="17"/>
      <c r="OKO32" s="17"/>
      <c r="OKP32" s="17"/>
      <c r="OKQ32" s="17"/>
      <c r="OKR32" s="17"/>
      <c r="OKS32" s="17"/>
      <c r="OKT32" s="17"/>
      <c r="OKU32" s="17"/>
      <c r="OKV32" s="17"/>
      <c r="OKW32" s="17"/>
      <c r="OKX32" s="17"/>
      <c r="OKY32" s="17"/>
      <c r="OKZ32" s="17"/>
      <c r="OLA32" s="17"/>
      <c r="OLB32" s="17"/>
      <c r="OLC32" s="17"/>
      <c r="OLD32" s="17"/>
      <c r="OLE32" s="17"/>
      <c r="OLF32" s="17"/>
      <c r="OLG32" s="17"/>
      <c r="OLH32" s="17"/>
      <c r="OLI32" s="17"/>
      <c r="OLJ32" s="17"/>
      <c r="OLK32" s="17"/>
      <c r="OLL32" s="17"/>
      <c r="OLM32" s="17"/>
      <c r="OLN32" s="17"/>
      <c r="OLO32" s="17"/>
      <c r="OLP32" s="17"/>
      <c r="OLQ32" s="17"/>
      <c r="OLR32" s="17"/>
      <c r="OLS32" s="17"/>
      <c r="OLT32" s="17"/>
      <c r="OLU32" s="17"/>
      <c r="OLV32" s="17"/>
      <c r="OLW32" s="17"/>
      <c r="OLX32" s="17"/>
      <c r="OLY32" s="17"/>
      <c r="OLZ32" s="17"/>
      <c r="OMA32" s="17"/>
      <c r="OMB32" s="17"/>
      <c r="OMC32" s="17"/>
      <c r="OMD32" s="17"/>
      <c r="OME32" s="17"/>
      <c r="OMF32" s="17"/>
      <c r="OMG32" s="17"/>
      <c r="OMH32" s="17"/>
      <c r="OMI32" s="17"/>
      <c r="OMJ32" s="17"/>
      <c r="OMK32" s="17"/>
      <c r="OML32" s="17"/>
      <c r="OMM32" s="17"/>
      <c r="OMN32" s="17"/>
      <c r="OMO32" s="17"/>
      <c r="OMP32" s="17"/>
      <c r="OMQ32" s="17"/>
      <c r="OMR32" s="17"/>
      <c r="OMS32" s="17"/>
      <c r="OMT32" s="17"/>
      <c r="OMU32" s="17"/>
      <c r="OMV32" s="17"/>
      <c r="OMW32" s="17"/>
      <c r="OMX32" s="17"/>
      <c r="OMY32" s="17"/>
      <c r="OMZ32" s="17"/>
      <c r="ONA32" s="17"/>
      <c r="ONB32" s="17"/>
      <c r="ONC32" s="17"/>
      <c r="OND32" s="17"/>
      <c r="ONE32" s="17"/>
      <c r="ONF32" s="17"/>
      <c r="ONG32" s="17"/>
      <c r="ONH32" s="17"/>
      <c r="ONI32" s="17"/>
      <c r="ONJ32" s="17"/>
      <c r="ONK32" s="17"/>
      <c r="ONL32" s="17"/>
      <c r="ONM32" s="17"/>
      <c r="ONN32" s="17"/>
      <c r="ONO32" s="17"/>
      <c r="ONP32" s="17"/>
      <c r="ONQ32" s="17"/>
      <c r="ONR32" s="17"/>
      <c r="ONS32" s="17"/>
      <c r="ONT32" s="17"/>
      <c r="ONU32" s="17"/>
      <c r="ONV32" s="17"/>
      <c r="ONW32" s="17"/>
      <c r="ONX32" s="17"/>
      <c r="ONY32" s="17"/>
      <c r="ONZ32" s="17"/>
      <c r="OOA32" s="17"/>
      <c r="OOB32" s="17"/>
      <c r="OOC32" s="17"/>
      <c r="OOD32" s="17"/>
      <c r="OOE32" s="17"/>
      <c r="OOF32" s="17"/>
      <c r="OOG32" s="17"/>
      <c r="OOH32" s="17"/>
      <c r="OOI32" s="17"/>
      <c r="OOJ32" s="17"/>
      <c r="OOK32" s="17"/>
      <c r="OOL32" s="17"/>
      <c r="OOM32" s="17"/>
      <c r="OON32" s="17"/>
      <c r="OOO32" s="17"/>
      <c r="OOP32" s="17"/>
      <c r="OOQ32" s="17"/>
      <c r="OOR32" s="17"/>
      <c r="OOS32" s="17"/>
      <c r="OOT32" s="17"/>
      <c r="OOU32" s="17"/>
      <c r="OOV32" s="17"/>
      <c r="OOW32" s="17"/>
      <c r="OOX32" s="17"/>
      <c r="OOY32" s="17"/>
      <c r="OOZ32" s="17"/>
      <c r="OPA32" s="17"/>
      <c r="OPB32" s="17"/>
      <c r="OPC32" s="17"/>
      <c r="OPD32" s="17"/>
      <c r="OPE32" s="17"/>
      <c r="OPF32" s="17"/>
      <c r="OPG32" s="17"/>
      <c r="OPH32" s="17"/>
      <c r="OPI32" s="17"/>
      <c r="OPJ32" s="17"/>
      <c r="OPK32" s="17"/>
      <c r="OPL32" s="17"/>
      <c r="OPM32" s="17"/>
      <c r="OPN32" s="17"/>
      <c r="OPO32" s="17"/>
      <c r="OPP32" s="17"/>
      <c r="OPQ32" s="17"/>
      <c r="OPR32" s="17"/>
      <c r="OPS32" s="17"/>
      <c r="OPT32" s="17"/>
      <c r="OPU32" s="17"/>
      <c r="OPV32" s="17"/>
      <c r="OPW32" s="17"/>
      <c r="OPX32" s="17"/>
      <c r="OPY32" s="17"/>
      <c r="OPZ32" s="17"/>
      <c r="OQA32" s="17"/>
      <c r="OQB32" s="17"/>
      <c r="OQC32" s="17"/>
      <c r="OQD32" s="17"/>
      <c r="OQE32" s="17"/>
      <c r="OQF32" s="17"/>
      <c r="OQG32" s="17"/>
      <c r="OQH32" s="17"/>
      <c r="OQI32" s="17"/>
      <c r="OQJ32" s="17"/>
      <c r="OQK32" s="17"/>
      <c r="OQL32" s="17"/>
      <c r="OQM32" s="17"/>
      <c r="OQN32" s="17"/>
      <c r="OQO32" s="17"/>
      <c r="OQP32" s="17"/>
      <c r="OQQ32" s="17"/>
      <c r="OQR32" s="17"/>
      <c r="OQS32" s="17"/>
      <c r="OQT32" s="17"/>
      <c r="OQU32" s="17"/>
      <c r="OQV32" s="17"/>
      <c r="OQW32" s="17"/>
      <c r="OQX32" s="17"/>
      <c r="OQY32" s="17"/>
      <c r="OQZ32" s="17"/>
      <c r="ORA32" s="17"/>
      <c r="ORB32" s="17"/>
      <c r="ORC32" s="17"/>
      <c r="ORD32" s="17"/>
      <c r="ORE32" s="17"/>
      <c r="ORF32" s="17"/>
      <c r="ORG32" s="17"/>
      <c r="ORH32" s="17"/>
      <c r="ORI32" s="17"/>
      <c r="ORJ32" s="17"/>
      <c r="ORK32" s="17"/>
      <c r="ORL32" s="17"/>
      <c r="ORM32" s="17"/>
      <c r="ORN32" s="17"/>
      <c r="ORO32" s="17"/>
      <c r="ORP32" s="17"/>
      <c r="ORQ32" s="17"/>
      <c r="ORR32" s="17"/>
      <c r="ORS32" s="17"/>
      <c r="ORT32" s="17"/>
      <c r="ORU32" s="17"/>
      <c r="ORV32" s="17"/>
      <c r="ORW32" s="17"/>
      <c r="ORX32" s="17"/>
      <c r="ORY32" s="17"/>
      <c r="ORZ32" s="17"/>
      <c r="OSA32" s="17"/>
      <c r="OSB32" s="17"/>
      <c r="OSC32" s="17"/>
      <c r="OSD32" s="17"/>
      <c r="OSE32" s="17"/>
      <c r="OSF32" s="17"/>
      <c r="OSG32" s="17"/>
      <c r="OSH32" s="17"/>
      <c r="OSI32" s="17"/>
      <c r="OSJ32" s="17"/>
      <c r="OSK32" s="17"/>
      <c r="OSL32" s="17"/>
      <c r="OSM32" s="17"/>
      <c r="OSN32" s="17"/>
      <c r="OSO32" s="17"/>
      <c r="OSP32" s="17"/>
      <c r="OSQ32" s="17"/>
      <c r="OSR32" s="17"/>
      <c r="OSS32" s="17"/>
      <c r="OST32" s="17"/>
      <c r="OSU32" s="17"/>
      <c r="OSV32" s="17"/>
      <c r="OSW32" s="17"/>
      <c r="OSX32" s="17"/>
      <c r="OSY32" s="17"/>
      <c r="OSZ32" s="17"/>
      <c r="OTA32" s="17"/>
      <c r="OTB32" s="17"/>
      <c r="OTC32" s="17"/>
      <c r="OTD32" s="17"/>
      <c r="OTE32" s="17"/>
      <c r="OTF32" s="17"/>
      <c r="OTG32" s="17"/>
      <c r="OTH32" s="17"/>
      <c r="OTI32" s="17"/>
      <c r="OTJ32" s="17"/>
      <c r="OTK32" s="17"/>
      <c r="OTL32" s="17"/>
      <c r="OTM32" s="17"/>
      <c r="OTN32" s="17"/>
      <c r="OTO32" s="17"/>
      <c r="OTP32" s="17"/>
      <c r="OTQ32" s="17"/>
      <c r="OTR32" s="17"/>
      <c r="OTS32" s="17"/>
      <c r="OTT32" s="17"/>
      <c r="OTU32" s="17"/>
      <c r="OTV32" s="17"/>
      <c r="OTW32" s="17"/>
      <c r="OTX32" s="17"/>
      <c r="OTY32" s="17"/>
      <c r="OTZ32" s="17"/>
      <c r="OUA32" s="17"/>
      <c r="OUB32" s="17"/>
      <c r="OUC32" s="17"/>
      <c r="OUD32" s="17"/>
      <c r="OUE32" s="17"/>
      <c r="OUF32" s="17"/>
      <c r="OUG32" s="17"/>
      <c r="OUH32" s="17"/>
      <c r="OUI32" s="17"/>
      <c r="OUJ32" s="17"/>
      <c r="OUK32" s="17"/>
      <c r="OUL32" s="17"/>
      <c r="OUM32" s="17"/>
      <c r="OUN32" s="17"/>
      <c r="OUO32" s="17"/>
      <c r="OUP32" s="17"/>
      <c r="OUQ32" s="17"/>
      <c r="OUR32" s="17"/>
      <c r="OUS32" s="17"/>
      <c r="OUT32" s="17"/>
      <c r="OUU32" s="17"/>
      <c r="OUV32" s="17"/>
      <c r="OUW32" s="17"/>
      <c r="OUX32" s="17"/>
      <c r="OUY32" s="17"/>
      <c r="OUZ32" s="17"/>
      <c r="OVA32" s="17"/>
      <c r="OVB32" s="17"/>
      <c r="OVC32" s="17"/>
      <c r="OVD32" s="17"/>
      <c r="OVE32" s="17"/>
      <c r="OVF32" s="17"/>
      <c r="OVG32" s="17"/>
      <c r="OVH32" s="17"/>
      <c r="OVI32" s="17"/>
      <c r="OVJ32" s="17"/>
      <c r="OVK32" s="17"/>
      <c r="OVL32" s="17"/>
      <c r="OVM32" s="17"/>
      <c r="OVN32" s="17"/>
      <c r="OVO32" s="17"/>
      <c r="OVP32" s="17"/>
      <c r="OVQ32" s="17"/>
      <c r="OVR32" s="17"/>
      <c r="OVS32" s="17"/>
      <c r="OVT32" s="17"/>
      <c r="OVU32" s="17"/>
      <c r="OVV32" s="17"/>
      <c r="OVW32" s="17"/>
      <c r="OVX32" s="17"/>
      <c r="OVY32" s="17"/>
      <c r="OVZ32" s="17"/>
      <c r="OWA32" s="17"/>
      <c r="OWB32" s="17"/>
      <c r="OWC32" s="17"/>
      <c r="OWD32" s="17"/>
      <c r="OWE32" s="17"/>
      <c r="OWF32" s="17"/>
      <c r="OWG32" s="17"/>
      <c r="OWH32" s="17"/>
      <c r="OWI32" s="17"/>
      <c r="OWJ32" s="17"/>
      <c r="OWK32" s="17"/>
      <c r="OWL32" s="17"/>
      <c r="OWM32" s="17"/>
      <c r="OWN32" s="17"/>
      <c r="OWO32" s="17"/>
      <c r="OWP32" s="17"/>
      <c r="OWQ32" s="17"/>
      <c r="OWR32" s="17"/>
      <c r="OWS32" s="17"/>
      <c r="OWT32" s="17"/>
      <c r="OWU32" s="17"/>
      <c r="OWV32" s="17"/>
      <c r="OWW32" s="17"/>
      <c r="OWX32" s="17"/>
      <c r="OWY32" s="17"/>
      <c r="OWZ32" s="17"/>
      <c r="OXA32" s="17"/>
      <c r="OXB32" s="17"/>
      <c r="OXC32" s="17"/>
      <c r="OXD32" s="17"/>
      <c r="OXE32" s="17"/>
      <c r="OXF32" s="17"/>
      <c r="OXG32" s="17"/>
      <c r="OXH32" s="17"/>
      <c r="OXI32" s="17"/>
      <c r="OXJ32" s="17"/>
      <c r="OXK32" s="17"/>
      <c r="OXL32" s="17"/>
      <c r="OXM32" s="17"/>
      <c r="OXN32" s="17"/>
      <c r="OXO32" s="17"/>
      <c r="OXP32" s="17"/>
      <c r="OXQ32" s="17"/>
      <c r="OXR32" s="17"/>
      <c r="OXS32" s="17"/>
      <c r="OXT32" s="17"/>
      <c r="OXU32" s="17"/>
      <c r="OXV32" s="17"/>
      <c r="OXW32" s="17"/>
      <c r="OXX32" s="17"/>
      <c r="OXY32" s="17"/>
      <c r="OXZ32" s="17"/>
      <c r="OYA32" s="17"/>
      <c r="OYB32" s="17"/>
      <c r="OYC32" s="17"/>
      <c r="OYD32" s="17"/>
      <c r="OYE32" s="17"/>
      <c r="OYF32" s="17"/>
      <c r="OYG32" s="17"/>
      <c r="OYH32" s="17"/>
      <c r="OYI32" s="17"/>
      <c r="OYJ32" s="17"/>
      <c r="OYK32" s="17"/>
      <c r="OYL32" s="17"/>
      <c r="OYM32" s="17"/>
      <c r="OYN32" s="17"/>
      <c r="OYO32" s="17"/>
      <c r="OYP32" s="17"/>
      <c r="OYQ32" s="17"/>
      <c r="OYR32" s="17"/>
      <c r="OYS32" s="17"/>
      <c r="OYT32" s="17"/>
      <c r="OYU32" s="17"/>
      <c r="OYV32" s="17"/>
      <c r="OYW32" s="17"/>
      <c r="OYX32" s="17"/>
      <c r="OYY32" s="17"/>
      <c r="OYZ32" s="17"/>
      <c r="OZA32" s="17"/>
      <c r="OZB32" s="17"/>
      <c r="OZC32" s="17"/>
      <c r="OZD32" s="17"/>
      <c r="OZE32" s="17"/>
      <c r="OZF32" s="17"/>
      <c r="OZG32" s="17"/>
      <c r="OZH32" s="17"/>
      <c r="OZI32" s="17"/>
      <c r="OZJ32" s="17"/>
      <c r="OZK32" s="17"/>
      <c r="OZL32" s="17"/>
      <c r="OZM32" s="17"/>
      <c r="OZN32" s="17"/>
      <c r="OZO32" s="17"/>
      <c r="OZP32" s="17"/>
      <c r="OZQ32" s="17"/>
      <c r="OZR32" s="17"/>
      <c r="OZS32" s="17"/>
      <c r="OZT32" s="17"/>
      <c r="OZU32" s="17"/>
      <c r="OZV32" s="17"/>
      <c r="OZW32" s="17"/>
      <c r="OZX32" s="17"/>
      <c r="OZY32" s="17"/>
      <c r="OZZ32" s="17"/>
      <c r="PAA32" s="17"/>
      <c r="PAB32" s="17"/>
      <c r="PAC32" s="17"/>
      <c r="PAD32" s="17"/>
      <c r="PAE32" s="17"/>
      <c r="PAF32" s="17"/>
      <c r="PAG32" s="17"/>
      <c r="PAH32" s="17"/>
      <c r="PAI32" s="17"/>
      <c r="PAJ32" s="17"/>
      <c r="PAK32" s="17"/>
      <c r="PAL32" s="17"/>
      <c r="PAM32" s="17"/>
      <c r="PAN32" s="17"/>
      <c r="PAO32" s="17"/>
      <c r="PAP32" s="17"/>
      <c r="PAQ32" s="17"/>
      <c r="PAR32" s="17"/>
      <c r="PAS32" s="17"/>
      <c r="PAT32" s="17"/>
      <c r="PAU32" s="17"/>
      <c r="PAV32" s="17"/>
      <c r="PAW32" s="17"/>
      <c r="PAX32" s="17"/>
      <c r="PAY32" s="17"/>
      <c r="PAZ32" s="17"/>
      <c r="PBA32" s="17"/>
      <c r="PBB32" s="17"/>
      <c r="PBC32" s="17"/>
      <c r="PBD32" s="17"/>
      <c r="PBE32" s="17"/>
      <c r="PBF32" s="17"/>
      <c r="PBG32" s="17"/>
      <c r="PBH32" s="17"/>
      <c r="PBI32" s="17"/>
      <c r="PBJ32" s="17"/>
      <c r="PBK32" s="17"/>
      <c r="PBL32" s="17"/>
      <c r="PBM32" s="17"/>
      <c r="PBN32" s="17"/>
      <c r="PBO32" s="17"/>
      <c r="PBP32" s="17"/>
      <c r="PBQ32" s="17"/>
      <c r="PBR32" s="17"/>
      <c r="PBS32" s="17"/>
      <c r="PBT32" s="17"/>
      <c r="PBU32" s="17"/>
      <c r="PBV32" s="17"/>
      <c r="PBW32" s="17"/>
      <c r="PBX32" s="17"/>
      <c r="PBY32" s="17"/>
      <c r="PBZ32" s="17"/>
      <c r="PCA32" s="17"/>
      <c r="PCB32" s="17"/>
      <c r="PCC32" s="17"/>
      <c r="PCD32" s="17"/>
      <c r="PCE32" s="17"/>
      <c r="PCF32" s="17"/>
      <c r="PCG32" s="17"/>
      <c r="PCH32" s="17"/>
      <c r="PCI32" s="17"/>
      <c r="PCJ32" s="17"/>
      <c r="PCK32" s="17"/>
      <c r="PCL32" s="17"/>
      <c r="PCM32" s="17"/>
      <c r="PCN32" s="17"/>
      <c r="PCO32" s="17"/>
      <c r="PCP32" s="17"/>
      <c r="PCQ32" s="17"/>
      <c r="PCR32" s="17"/>
      <c r="PCS32" s="17"/>
      <c r="PCT32" s="17"/>
      <c r="PCU32" s="17"/>
      <c r="PCV32" s="17"/>
      <c r="PCW32" s="17"/>
      <c r="PCX32" s="17"/>
      <c r="PCY32" s="17"/>
      <c r="PCZ32" s="17"/>
      <c r="PDA32" s="17"/>
      <c r="PDB32" s="17"/>
      <c r="PDC32" s="17"/>
      <c r="PDD32" s="17"/>
      <c r="PDE32" s="17"/>
      <c r="PDF32" s="17"/>
      <c r="PDG32" s="17"/>
      <c r="PDH32" s="17"/>
      <c r="PDI32" s="17"/>
      <c r="PDJ32" s="17"/>
      <c r="PDK32" s="17"/>
      <c r="PDL32" s="17"/>
      <c r="PDM32" s="17"/>
      <c r="PDN32" s="17"/>
      <c r="PDO32" s="17"/>
      <c r="PDP32" s="17"/>
      <c r="PDQ32" s="17"/>
      <c r="PDR32" s="17"/>
      <c r="PDS32" s="17"/>
      <c r="PDT32" s="17"/>
      <c r="PDU32" s="17"/>
      <c r="PDV32" s="17"/>
      <c r="PDW32" s="17"/>
      <c r="PDX32" s="17"/>
      <c r="PDY32" s="17"/>
      <c r="PDZ32" s="17"/>
      <c r="PEA32" s="17"/>
      <c r="PEB32" s="17"/>
      <c r="PEC32" s="17"/>
      <c r="PED32" s="17"/>
      <c r="PEE32" s="17"/>
      <c r="PEF32" s="17"/>
      <c r="PEG32" s="17"/>
      <c r="PEH32" s="17"/>
      <c r="PEI32" s="17"/>
      <c r="PEJ32" s="17"/>
      <c r="PEK32" s="17"/>
      <c r="PEL32" s="17"/>
      <c r="PEM32" s="17"/>
      <c r="PEN32" s="17"/>
      <c r="PEO32" s="17"/>
      <c r="PEP32" s="17"/>
      <c r="PEQ32" s="17"/>
      <c r="PER32" s="17"/>
      <c r="PES32" s="17"/>
      <c r="PET32" s="17"/>
      <c r="PEU32" s="17"/>
      <c r="PEV32" s="17"/>
      <c r="PEW32" s="17"/>
      <c r="PEX32" s="17"/>
      <c r="PEY32" s="17"/>
      <c r="PEZ32" s="17"/>
      <c r="PFA32" s="17"/>
      <c r="PFB32" s="17"/>
      <c r="PFC32" s="17"/>
      <c r="PFD32" s="17"/>
      <c r="PFE32" s="17"/>
      <c r="PFF32" s="17"/>
      <c r="PFG32" s="17"/>
      <c r="PFH32" s="17"/>
      <c r="PFI32" s="17"/>
      <c r="PFJ32" s="17"/>
      <c r="PFK32" s="17"/>
      <c r="PFL32" s="17"/>
      <c r="PFM32" s="17"/>
      <c r="PFN32" s="17"/>
      <c r="PFO32" s="17"/>
      <c r="PFP32" s="17"/>
      <c r="PFQ32" s="17"/>
      <c r="PFR32" s="17"/>
      <c r="PFS32" s="17"/>
      <c r="PFT32" s="17"/>
      <c r="PFU32" s="17"/>
      <c r="PFV32" s="17"/>
      <c r="PFW32" s="17"/>
      <c r="PFX32" s="17"/>
      <c r="PFY32" s="17"/>
      <c r="PFZ32" s="17"/>
      <c r="PGA32" s="17"/>
      <c r="PGB32" s="17"/>
      <c r="PGC32" s="17"/>
      <c r="PGD32" s="17"/>
      <c r="PGE32" s="17"/>
      <c r="PGF32" s="17"/>
      <c r="PGG32" s="17"/>
      <c r="PGH32" s="17"/>
      <c r="PGI32" s="17"/>
      <c r="PGJ32" s="17"/>
      <c r="PGK32" s="17"/>
      <c r="PGL32" s="17"/>
      <c r="PGM32" s="17"/>
      <c r="PGN32" s="17"/>
      <c r="PGO32" s="17"/>
      <c r="PGP32" s="17"/>
      <c r="PGQ32" s="17"/>
      <c r="PGR32" s="17"/>
      <c r="PGS32" s="17"/>
      <c r="PGT32" s="17"/>
      <c r="PGU32" s="17"/>
      <c r="PGV32" s="17"/>
      <c r="PGW32" s="17"/>
      <c r="PGX32" s="17"/>
      <c r="PGY32" s="17"/>
      <c r="PGZ32" s="17"/>
      <c r="PHA32" s="17"/>
      <c r="PHB32" s="17"/>
      <c r="PHC32" s="17"/>
      <c r="PHD32" s="17"/>
      <c r="PHE32" s="17"/>
      <c r="PHF32" s="17"/>
      <c r="PHG32" s="17"/>
      <c r="PHH32" s="17"/>
      <c r="PHI32" s="17"/>
      <c r="PHJ32" s="17"/>
      <c r="PHK32" s="17"/>
      <c r="PHL32" s="17"/>
      <c r="PHM32" s="17"/>
      <c r="PHN32" s="17"/>
      <c r="PHO32" s="17"/>
      <c r="PHP32" s="17"/>
      <c r="PHQ32" s="17"/>
      <c r="PHR32" s="17"/>
      <c r="PHS32" s="17"/>
      <c r="PHT32" s="17"/>
      <c r="PHU32" s="17"/>
      <c r="PHV32" s="17"/>
      <c r="PHW32" s="17"/>
      <c r="PHX32" s="17"/>
      <c r="PHY32" s="17"/>
      <c r="PHZ32" s="17"/>
      <c r="PIA32" s="17"/>
      <c r="PIB32" s="17"/>
      <c r="PIC32" s="17"/>
      <c r="PID32" s="17"/>
      <c r="PIE32" s="17"/>
      <c r="PIF32" s="17"/>
      <c r="PIG32" s="17"/>
      <c r="PIH32" s="17"/>
      <c r="PII32" s="17"/>
      <c r="PIJ32" s="17"/>
      <c r="PIK32" s="17"/>
      <c r="PIL32" s="17"/>
      <c r="PIM32" s="17"/>
      <c r="PIN32" s="17"/>
      <c r="PIO32" s="17"/>
      <c r="PIP32" s="17"/>
      <c r="PIQ32" s="17"/>
      <c r="PIR32" s="17"/>
      <c r="PIS32" s="17"/>
      <c r="PIT32" s="17"/>
      <c r="PIU32" s="17"/>
      <c r="PIV32" s="17"/>
      <c r="PIW32" s="17"/>
      <c r="PIX32" s="17"/>
      <c r="PIY32" s="17"/>
      <c r="PIZ32" s="17"/>
      <c r="PJA32" s="17"/>
      <c r="PJB32" s="17"/>
      <c r="PJC32" s="17"/>
      <c r="PJD32" s="17"/>
      <c r="PJE32" s="17"/>
      <c r="PJF32" s="17"/>
      <c r="PJG32" s="17"/>
      <c r="PJH32" s="17"/>
      <c r="PJI32" s="17"/>
      <c r="PJJ32" s="17"/>
      <c r="PJK32" s="17"/>
      <c r="PJL32" s="17"/>
      <c r="PJM32" s="17"/>
      <c r="PJN32" s="17"/>
      <c r="PJO32" s="17"/>
      <c r="PJP32" s="17"/>
      <c r="PJQ32" s="17"/>
      <c r="PJR32" s="17"/>
      <c r="PJS32" s="17"/>
      <c r="PJT32" s="17"/>
      <c r="PJU32" s="17"/>
      <c r="PJV32" s="17"/>
      <c r="PJW32" s="17"/>
      <c r="PJX32" s="17"/>
      <c r="PJY32" s="17"/>
      <c r="PJZ32" s="17"/>
      <c r="PKA32" s="17"/>
      <c r="PKB32" s="17"/>
      <c r="PKC32" s="17"/>
      <c r="PKD32" s="17"/>
      <c r="PKE32" s="17"/>
      <c r="PKF32" s="17"/>
      <c r="PKG32" s="17"/>
      <c r="PKH32" s="17"/>
      <c r="PKI32" s="17"/>
      <c r="PKJ32" s="17"/>
      <c r="PKK32" s="17"/>
      <c r="PKL32" s="17"/>
      <c r="PKM32" s="17"/>
      <c r="PKN32" s="17"/>
      <c r="PKO32" s="17"/>
      <c r="PKP32" s="17"/>
      <c r="PKQ32" s="17"/>
      <c r="PKR32" s="17"/>
      <c r="PKS32" s="17"/>
      <c r="PKT32" s="17"/>
      <c r="PKU32" s="17"/>
      <c r="PKV32" s="17"/>
      <c r="PKW32" s="17"/>
      <c r="PKX32" s="17"/>
      <c r="PKY32" s="17"/>
      <c r="PKZ32" s="17"/>
      <c r="PLA32" s="17"/>
      <c r="PLB32" s="17"/>
      <c r="PLC32" s="17"/>
      <c r="PLD32" s="17"/>
      <c r="PLE32" s="17"/>
      <c r="PLF32" s="17"/>
      <c r="PLG32" s="17"/>
      <c r="PLH32" s="17"/>
      <c r="PLI32" s="17"/>
      <c r="PLJ32" s="17"/>
      <c r="PLK32" s="17"/>
      <c r="PLL32" s="17"/>
      <c r="PLM32" s="17"/>
      <c r="PLN32" s="17"/>
      <c r="PLO32" s="17"/>
      <c r="PLP32" s="17"/>
      <c r="PLQ32" s="17"/>
      <c r="PLR32" s="17"/>
      <c r="PLS32" s="17"/>
      <c r="PLT32" s="17"/>
      <c r="PLU32" s="17"/>
      <c r="PLV32" s="17"/>
      <c r="PLW32" s="17"/>
      <c r="PLX32" s="17"/>
      <c r="PLY32" s="17"/>
      <c r="PLZ32" s="17"/>
      <c r="PMA32" s="17"/>
      <c r="PMB32" s="17"/>
      <c r="PMC32" s="17"/>
      <c r="PMD32" s="17"/>
      <c r="PME32" s="17"/>
      <c r="PMF32" s="17"/>
      <c r="PMG32" s="17"/>
      <c r="PMH32" s="17"/>
      <c r="PMI32" s="17"/>
      <c r="PMJ32" s="17"/>
      <c r="PMK32" s="17"/>
      <c r="PML32" s="17"/>
      <c r="PMM32" s="17"/>
      <c r="PMN32" s="17"/>
      <c r="PMO32" s="17"/>
      <c r="PMP32" s="17"/>
      <c r="PMQ32" s="17"/>
      <c r="PMR32" s="17"/>
      <c r="PMS32" s="17"/>
      <c r="PMT32" s="17"/>
      <c r="PMU32" s="17"/>
      <c r="PMV32" s="17"/>
      <c r="PMW32" s="17"/>
      <c r="PMX32" s="17"/>
      <c r="PMY32" s="17"/>
      <c r="PMZ32" s="17"/>
      <c r="PNA32" s="17"/>
      <c r="PNB32" s="17"/>
      <c r="PNC32" s="17"/>
      <c r="PND32" s="17"/>
      <c r="PNE32" s="17"/>
      <c r="PNF32" s="17"/>
      <c r="PNG32" s="17"/>
      <c r="PNH32" s="17"/>
      <c r="PNI32" s="17"/>
      <c r="PNJ32" s="17"/>
      <c r="PNK32" s="17"/>
      <c r="PNL32" s="17"/>
      <c r="PNM32" s="17"/>
      <c r="PNN32" s="17"/>
      <c r="PNO32" s="17"/>
      <c r="PNP32" s="17"/>
      <c r="PNQ32" s="17"/>
      <c r="PNR32" s="17"/>
      <c r="PNS32" s="17"/>
      <c r="PNT32" s="17"/>
      <c r="PNU32" s="17"/>
      <c r="PNV32" s="17"/>
      <c r="PNW32" s="17"/>
      <c r="PNX32" s="17"/>
      <c r="PNY32" s="17"/>
      <c r="PNZ32" s="17"/>
      <c r="POA32" s="17"/>
      <c r="POB32" s="17"/>
      <c r="POC32" s="17"/>
      <c r="POD32" s="17"/>
      <c r="POE32" s="17"/>
      <c r="POF32" s="17"/>
      <c r="POG32" s="17"/>
      <c r="POH32" s="17"/>
      <c r="POI32" s="17"/>
      <c r="POJ32" s="17"/>
      <c r="POK32" s="17"/>
      <c r="POL32" s="17"/>
      <c r="POM32" s="17"/>
      <c r="PON32" s="17"/>
      <c r="POO32" s="17"/>
      <c r="POP32" s="17"/>
      <c r="POQ32" s="17"/>
      <c r="POR32" s="17"/>
      <c r="POS32" s="17"/>
      <c r="POT32" s="17"/>
      <c r="POU32" s="17"/>
      <c r="POV32" s="17"/>
      <c r="POW32" s="17"/>
      <c r="POX32" s="17"/>
      <c r="POY32" s="17"/>
      <c r="POZ32" s="17"/>
      <c r="PPA32" s="17"/>
      <c r="PPB32" s="17"/>
      <c r="PPC32" s="17"/>
      <c r="PPD32" s="17"/>
      <c r="PPE32" s="17"/>
      <c r="PPF32" s="17"/>
      <c r="PPG32" s="17"/>
      <c r="PPH32" s="17"/>
      <c r="PPI32" s="17"/>
      <c r="PPJ32" s="17"/>
      <c r="PPK32" s="17"/>
      <c r="PPL32" s="17"/>
      <c r="PPM32" s="17"/>
      <c r="PPN32" s="17"/>
      <c r="PPO32" s="17"/>
      <c r="PPP32" s="17"/>
      <c r="PPQ32" s="17"/>
      <c r="PPR32" s="17"/>
      <c r="PPS32" s="17"/>
      <c r="PPT32" s="17"/>
      <c r="PPU32" s="17"/>
      <c r="PPV32" s="17"/>
      <c r="PPW32" s="17"/>
      <c r="PPX32" s="17"/>
      <c r="PPY32" s="17"/>
      <c r="PPZ32" s="17"/>
      <c r="PQA32" s="17"/>
      <c r="PQB32" s="17"/>
      <c r="PQC32" s="17"/>
      <c r="PQD32" s="17"/>
      <c r="PQE32" s="17"/>
      <c r="PQF32" s="17"/>
      <c r="PQG32" s="17"/>
      <c r="PQH32" s="17"/>
      <c r="PQI32" s="17"/>
      <c r="PQJ32" s="17"/>
      <c r="PQK32" s="17"/>
      <c r="PQL32" s="17"/>
      <c r="PQM32" s="17"/>
      <c r="PQN32" s="17"/>
      <c r="PQO32" s="17"/>
      <c r="PQP32" s="17"/>
      <c r="PQQ32" s="17"/>
      <c r="PQR32" s="17"/>
      <c r="PQS32" s="17"/>
      <c r="PQT32" s="17"/>
      <c r="PQU32" s="17"/>
      <c r="PQV32" s="17"/>
      <c r="PQW32" s="17"/>
      <c r="PQX32" s="17"/>
      <c r="PQY32" s="17"/>
      <c r="PQZ32" s="17"/>
      <c r="PRA32" s="17"/>
      <c r="PRB32" s="17"/>
      <c r="PRC32" s="17"/>
      <c r="PRD32" s="17"/>
      <c r="PRE32" s="17"/>
      <c r="PRF32" s="17"/>
      <c r="PRG32" s="17"/>
      <c r="PRH32" s="17"/>
      <c r="PRI32" s="17"/>
      <c r="PRJ32" s="17"/>
      <c r="PRK32" s="17"/>
      <c r="PRL32" s="17"/>
      <c r="PRM32" s="17"/>
      <c r="PRN32" s="17"/>
      <c r="PRO32" s="17"/>
      <c r="PRP32" s="17"/>
      <c r="PRQ32" s="17"/>
      <c r="PRR32" s="17"/>
      <c r="PRS32" s="17"/>
      <c r="PRT32" s="17"/>
      <c r="PRU32" s="17"/>
      <c r="PRV32" s="17"/>
      <c r="PRW32" s="17"/>
      <c r="PRX32" s="17"/>
      <c r="PRY32" s="17"/>
      <c r="PRZ32" s="17"/>
      <c r="PSA32" s="17"/>
      <c r="PSB32" s="17"/>
      <c r="PSC32" s="17"/>
      <c r="PSD32" s="17"/>
      <c r="PSE32" s="17"/>
      <c r="PSF32" s="17"/>
      <c r="PSG32" s="17"/>
      <c r="PSH32" s="17"/>
      <c r="PSI32" s="17"/>
      <c r="PSJ32" s="17"/>
      <c r="PSK32" s="17"/>
      <c r="PSL32" s="17"/>
      <c r="PSM32" s="17"/>
      <c r="PSN32" s="17"/>
      <c r="PSO32" s="17"/>
      <c r="PSP32" s="17"/>
      <c r="PSQ32" s="17"/>
      <c r="PSR32" s="17"/>
      <c r="PSS32" s="17"/>
      <c r="PST32" s="17"/>
      <c r="PSU32" s="17"/>
      <c r="PSV32" s="17"/>
      <c r="PSW32" s="17"/>
      <c r="PSX32" s="17"/>
      <c r="PSY32" s="17"/>
      <c r="PSZ32" s="17"/>
      <c r="PTA32" s="17"/>
      <c r="PTB32" s="17"/>
      <c r="PTC32" s="17"/>
      <c r="PTD32" s="17"/>
      <c r="PTE32" s="17"/>
      <c r="PTF32" s="17"/>
      <c r="PTG32" s="17"/>
      <c r="PTH32" s="17"/>
      <c r="PTI32" s="17"/>
      <c r="PTJ32" s="17"/>
      <c r="PTK32" s="17"/>
      <c r="PTL32" s="17"/>
      <c r="PTM32" s="17"/>
      <c r="PTN32" s="17"/>
      <c r="PTO32" s="17"/>
      <c r="PTP32" s="17"/>
      <c r="PTQ32" s="17"/>
      <c r="PTR32" s="17"/>
      <c r="PTS32" s="17"/>
      <c r="PTT32" s="17"/>
      <c r="PTU32" s="17"/>
      <c r="PTV32" s="17"/>
      <c r="PTW32" s="17"/>
      <c r="PTX32" s="17"/>
      <c r="PTY32" s="17"/>
      <c r="PTZ32" s="17"/>
      <c r="PUA32" s="17"/>
      <c r="PUB32" s="17"/>
      <c r="PUC32" s="17"/>
      <c r="PUD32" s="17"/>
      <c r="PUE32" s="17"/>
      <c r="PUF32" s="17"/>
      <c r="PUG32" s="17"/>
      <c r="PUH32" s="17"/>
      <c r="PUI32" s="17"/>
      <c r="PUJ32" s="17"/>
      <c r="PUK32" s="17"/>
      <c r="PUL32" s="17"/>
      <c r="PUM32" s="17"/>
      <c r="PUN32" s="17"/>
      <c r="PUO32" s="17"/>
      <c r="PUP32" s="17"/>
      <c r="PUQ32" s="17"/>
      <c r="PUR32" s="17"/>
      <c r="PUS32" s="17"/>
      <c r="PUT32" s="17"/>
      <c r="PUU32" s="17"/>
      <c r="PUV32" s="17"/>
      <c r="PUW32" s="17"/>
      <c r="PUX32" s="17"/>
      <c r="PUY32" s="17"/>
      <c r="PUZ32" s="17"/>
      <c r="PVA32" s="17"/>
      <c r="PVB32" s="17"/>
      <c r="PVC32" s="17"/>
      <c r="PVD32" s="17"/>
      <c r="PVE32" s="17"/>
      <c r="PVF32" s="17"/>
      <c r="PVG32" s="17"/>
      <c r="PVH32" s="17"/>
      <c r="PVI32" s="17"/>
      <c r="PVJ32" s="17"/>
      <c r="PVK32" s="17"/>
      <c r="PVL32" s="17"/>
      <c r="PVM32" s="17"/>
      <c r="PVN32" s="17"/>
      <c r="PVO32" s="17"/>
      <c r="PVP32" s="17"/>
      <c r="PVQ32" s="17"/>
      <c r="PVR32" s="17"/>
      <c r="PVS32" s="17"/>
      <c r="PVT32" s="17"/>
      <c r="PVU32" s="17"/>
      <c r="PVV32" s="17"/>
      <c r="PVW32" s="17"/>
      <c r="PVX32" s="17"/>
      <c r="PVY32" s="17"/>
      <c r="PVZ32" s="17"/>
      <c r="PWA32" s="17"/>
      <c r="PWB32" s="17"/>
      <c r="PWC32" s="17"/>
      <c r="PWD32" s="17"/>
      <c r="PWE32" s="17"/>
      <c r="PWF32" s="17"/>
      <c r="PWG32" s="17"/>
      <c r="PWH32" s="17"/>
      <c r="PWI32" s="17"/>
      <c r="PWJ32" s="17"/>
      <c r="PWK32" s="17"/>
      <c r="PWL32" s="17"/>
      <c r="PWM32" s="17"/>
      <c r="PWN32" s="17"/>
      <c r="PWO32" s="17"/>
      <c r="PWP32" s="17"/>
      <c r="PWQ32" s="17"/>
      <c r="PWR32" s="17"/>
      <c r="PWS32" s="17"/>
      <c r="PWT32" s="17"/>
      <c r="PWU32" s="17"/>
      <c r="PWV32" s="17"/>
      <c r="PWW32" s="17"/>
      <c r="PWX32" s="17"/>
      <c r="PWY32" s="17"/>
      <c r="PWZ32" s="17"/>
      <c r="PXA32" s="17"/>
      <c r="PXB32" s="17"/>
      <c r="PXC32" s="17"/>
      <c r="PXD32" s="17"/>
      <c r="PXE32" s="17"/>
      <c r="PXF32" s="17"/>
      <c r="PXG32" s="17"/>
      <c r="PXH32" s="17"/>
      <c r="PXI32" s="17"/>
      <c r="PXJ32" s="17"/>
      <c r="PXK32" s="17"/>
      <c r="PXL32" s="17"/>
      <c r="PXM32" s="17"/>
      <c r="PXN32" s="17"/>
      <c r="PXO32" s="17"/>
      <c r="PXP32" s="17"/>
      <c r="PXQ32" s="17"/>
      <c r="PXR32" s="17"/>
      <c r="PXS32" s="17"/>
      <c r="PXT32" s="17"/>
      <c r="PXU32" s="17"/>
      <c r="PXV32" s="17"/>
      <c r="PXW32" s="17"/>
      <c r="PXX32" s="17"/>
      <c r="PXY32" s="17"/>
      <c r="PXZ32" s="17"/>
      <c r="PYA32" s="17"/>
      <c r="PYB32" s="17"/>
      <c r="PYC32" s="17"/>
      <c r="PYD32" s="17"/>
      <c r="PYE32" s="17"/>
      <c r="PYF32" s="17"/>
      <c r="PYG32" s="17"/>
      <c r="PYH32" s="17"/>
      <c r="PYI32" s="17"/>
      <c r="PYJ32" s="17"/>
      <c r="PYK32" s="17"/>
      <c r="PYL32" s="17"/>
      <c r="PYM32" s="17"/>
      <c r="PYN32" s="17"/>
      <c r="PYO32" s="17"/>
      <c r="PYP32" s="17"/>
      <c r="PYQ32" s="17"/>
      <c r="PYR32" s="17"/>
      <c r="PYS32" s="17"/>
      <c r="PYT32" s="17"/>
      <c r="PYU32" s="17"/>
      <c r="PYV32" s="17"/>
      <c r="PYW32" s="17"/>
      <c r="PYX32" s="17"/>
      <c r="PYY32" s="17"/>
      <c r="PYZ32" s="17"/>
      <c r="PZA32" s="17"/>
      <c r="PZB32" s="17"/>
      <c r="PZC32" s="17"/>
      <c r="PZD32" s="17"/>
      <c r="PZE32" s="17"/>
      <c r="PZF32" s="17"/>
      <c r="PZG32" s="17"/>
      <c r="PZH32" s="17"/>
      <c r="PZI32" s="17"/>
      <c r="PZJ32" s="17"/>
      <c r="PZK32" s="17"/>
      <c r="PZL32" s="17"/>
      <c r="PZM32" s="17"/>
      <c r="PZN32" s="17"/>
      <c r="PZO32" s="17"/>
      <c r="PZP32" s="17"/>
      <c r="PZQ32" s="17"/>
      <c r="PZR32" s="17"/>
      <c r="PZS32" s="17"/>
      <c r="PZT32" s="17"/>
      <c r="PZU32" s="17"/>
      <c r="PZV32" s="17"/>
      <c r="PZW32" s="17"/>
      <c r="PZX32" s="17"/>
      <c r="PZY32" s="17"/>
      <c r="PZZ32" s="17"/>
      <c r="QAA32" s="17"/>
      <c r="QAB32" s="17"/>
      <c r="QAC32" s="17"/>
      <c r="QAD32" s="17"/>
      <c r="QAE32" s="17"/>
      <c r="QAF32" s="17"/>
      <c r="QAG32" s="17"/>
      <c r="QAH32" s="17"/>
      <c r="QAI32" s="17"/>
      <c r="QAJ32" s="17"/>
      <c r="QAK32" s="17"/>
      <c r="QAL32" s="17"/>
      <c r="QAM32" s="17"/>
      <c r="QAN32" s="17"/>
      <c r="QAO32" s="17"/>
      <c r="QAP32" s="17"/>
      <c r="QAQ32" s="17"/>
      <c r="QAR32" s="17"/>
      <c r="QAS32" s="17"/>
      <c r="QAT32" s="17"/>
      <c r="QAU32" s="17"/>
      <c r="QAV32" s="17"/>
      <c r="QAW32" s="17"/>
      <c r="QAX32" s="17"/>
      <c r="QAY32" s="17"/>
      <c r="QAZ32" s="17"/>
      <c r="QBA32" s="17"/>
      <c r="QBB32" s="17"/>
      <c r="QBC32" s="17"/>
      <c r="QBD32" s="17"/>
      <c r="QBE32" s="17"/>
      <c r="QBF32" s="17"/>
      <c r="QBG32" s="17"/>
      <c r="QBH32" s="17"/>
      <c r="QBI32" s="17"/>
      <c r="QBJ32" s="17"/>
      <c r="QBK32" s="17"/>
      <c r="QBL32" s="17"/>
      <c r="QBM32" s="17"/>
      <c r="QBN32" s="17"/>
      <c r="QBO32" s="17"/>
      <c r="QBP32" s="17"/>
      <c r="QBQ32" s="17"/>
      <c r="QBR32" s="17"/>
      <c r="QBS32" s="17"/>
      <c r="QBT32" s="17"/>
      <c r="QBU32" s="17"/>
      <c r="QBV32" s="17"/>
      <c r="QBW32" s="17"/>
      <c r="QBX32" s="17"/>
      <c r="QBY32" s="17"/>
      <c r="QBZ32" s="17"/>
      <c r="QCA32" s="17"/>
      <c r="QCB32" s="17"/>
      <c r="QCC32" s="17"/>
      <c r="QCD32" s="17"/>
      <c r="QCE32" s="17"/>
      <c r="QCF32" s="17"/>
      <c r="QCG32" s="17"/>
      <c r="QCH32" s="17"/>
      <c r="QCI32" s="17"/>
      <c r="QCJ32" s="17"/>
      <c r="QCK32" s="17"/>
      <c r="QCL32" s="17"/>
      <c r="QCM32" s="17"/>
      <c r="QCN32" s="17"/>
      <c r="QCO32" s="17"/>
      <c r="QCP32" s="17"/>
      <c r="QCQ32" s="17"/>
      <c r="QCR32" s="17"/>
      <c r="QCS32" s="17"/>
      <c r="QCT32" s="17"/>
      <c r="QCU32" s="17"/>
      <c r="QCV32" s="17"/>
      <c r="QCW32" s="17"/>
      <c r="QCX32" s="17"/>
      <c r="QCY32" s="17"/>
      <c r="QCZ32" s="17"/>
      <c r="QDA32" s="17"/>
      <c r="QDB32" s="17"/>
      <c r="QDC32" s="17"/>
      <c r="QDD32" s="17"/>
      <c r="QDE32" s="17"/>
      <c r="QDF32" s="17"/>
      <c r="QDG32" s="17"/>
      <c r="QDH32" s="17"/>
      <c r="QDI32" s="17"/>
      <c r="QDJ32" s="17"/>
      <c r="QDK32" s="17"/>
      <c r="QDL32" s="17"/>
      <c r="QDM32" s="17"/>
      <c r="QDN32" s="17"/>
      <c r="QDO32" s="17"/>
      <c r="QDP32" s="17"/>
      <c r="QDQ32" s="17"/>
      <c r="QDR32" s="17"/>
      <c r="QDS32" s="17"/>
      <c r="QDT32" s="17"/>
      <c r="QDU32" s="17"/>
      <c r="QDV32" s="17"/>
      <c r="QDW32" s="17"/>
      <c r="QDX32" s="17"/>
      <c r="QDY32" s="17"/>
      <c r="QDZ32" s="17"/>
      <c r="QEA32" s="17"/>
      <c r="QEB32" s="17"/>
      <c r="QEC32" s="17"/>
      <c r="QED32" s="17"/>
      <c r="QEE32" s="17"/>
      <c r="QEF32" s="17"/>
      <c r="QEG32" s="17"/>
      <c r="QEH32" s="17"/>
      <c r="QEI32" s="17"/>
      <c r="QEJ32" s="17"/>
      <c r="QEK32" s="17"/>
      <c r="QEL32" s="17"/>
      <c r="QEM32" s="17"/>
      <c r="QEN32" s="17"/>
      <c r="QEO32" s="17"/>
      <c r="QEP32" s="17"/>
      <c r="QEQ32" s="17"/>
      <c r="QER32" s="17"/>
      <c r="QES32" s="17"/>
      <c r="QET32" s="17"/>
      <c r="QEU32" s="17"/>
      <c r="QEV32" s="17"/>
      <c r="QEW32" s="17"/>
      <c r="QEX32" s="17"/>
      <c r="QEY32" s="17"/>
      <c r="QEZ32" s="17"/>
      <c r="QFA32" s="17"/>
      <c r="QFB32" s="17"/>
      <c r="QFC32" s="17"/>
      <c r="QFD32" s="17"/>
      <c r="QFE32" s="17"/>
      <c r="QFF32" s="17"/>
      <c r="QFG32" s="17"/>
      <c r="QFH32" s="17"/>
      <c r="QFI32" s="17"/>
      <c r="QFJ32" s="17"/>
      <c r="QFK32" s="17"/>
      <c r="QFL32" s="17"/>
      <c r="QFM32" s="17"/>
      <c r="QFN32" s="17"/>
      <c r="QFO32" s="17"/>
      <c r="QFP32" s="17"/>
      <c r="QFQ32" s="17"/>
      <c r="QFR32" s="17"/>
      <c r="QFS32" s="17"/>
      <c r="QFT32" s="17"/>
      <c r="QFU32" s="17"/>
      <c r="QFV32" s="17"/>
      <c r="QFW32" s="17"/>
      <c r="QFX32" s="17"/>
      <c r="QFY32" s="17"/>
      <c r="QFZ32" s="17"/>
      <c r="QGA32" s="17"/>
      <c r="QGB32" s="17"/>
      <c r="QGC32" s="17"/>
      <c r="QGD32" s="17"/>
      <c r="QGE32" s="17"/>
      <c r="QGF32" s="17"/>
      <c r="QGG32" s="17"/>
      <c r="QGH32" s="17"/>
      <c r="QGI32" s="17"/>
      <c r="QGJ32" s="17"/>
      <c r="QGK32" s="17"/>
      <c r="QGL32" s="17"/>
      <c r="QGM32" s="17"/>
      <c r="QGN32" s="17"/>
      <c r="QGO32" s="17"/>
      <c r="QGP32" s="17"/>
      <c r="QGQ32" s="17"/>
      <c r="QGR32" s="17"/>
      <c r="QGS32" s="17"/>
      <c r="QGT32" s="17"/>
      <c r="QGU32" s="17"/>
      <c r="QGV32" s="17"/>
      <c r="QGW32" s="17"/>
      <c r="QGX32" s="17"/>
      <c r="QGY32" s="17"/>
      <c r="QGZ32" s="17"/>
      <c r="QHA32" s="17"/>
      <c r="QHB32" s="17"/>
      <c r="QHC32" s="17"/>
      <c r="QHD32" s="17"/>
      <c r="QHE32" s="17"/>
      <c r="QHF32" s="17"/>
      <c r="QHG32" s="17"/>
      <c r="QHH32" s="17"/>
      <c r="QHI32" s="17"/>
      <c r="QHJ32" s="17"/>
      <c r="QHK32" s="17"/>
      <c r="QHL32" s="17"/>
      <c r="QHM32" s="17"/>
      <c r="QHN32" s="17"/>
      <c r="QHO32" s="17"/>
      <c r="QHP32" s="17"/>
      <c r="QHQ32" s="17"/>
      <c r="QHR32" s="17"/>
      <c r="QHS32" s="17"/>
      <c r="QHT32" s="17"/>
      <c r="QHU32" s="17"/>
      <c r="QHV32" s="17"/>
      <c r="QHW32" s="17"/>
      <c r="QHX32" s="17"/>
      <c r="QHY32" s="17"/>
      <c r="QHZ32" s="17"/>
      <c r="QIA32" s="17"/>
      <c r="QIB32" s="17"/>
      <c r="QIC32" s="17"/>
      <c r="QID32" s="17"/>
      <c r="QIE32" s="17"/>
      <c r="QIF32" s="17"/>
      <c r="QIG32" s="17"/>
      <c r="QIH32" s="17"/>
      <c r="QII32" s="17"/>
      <c r="QIJ32" s="17"/>
      <c r="QIK32" s="17"/>
      <c r="QIL32" s="17"/>
      <c r="QIM32" s="17"/>
      <c r="QIN32" s="17"/>
      <c r="QIO32" s="17"/>
      <c r="QIP32" s="17"/>
      <c r="QIQ32" s="17"/>
      <c r="QIR32" s="17"/>
      <c r="QIS32" s="17"/>
      <c r="QIT32" s="17"/>
      <c r="QIU32" s="17"/>
      <c r="QIV32" s="17"/>
      <c r="QIW32" s="17"/>
      <c r="QIX32" s="17"/>
      <c r="QIY32" s="17"/>
      <c r="QIZ32" s="17"/>
      <c r="QJA32" s="17"/>
      <c r="QJB32" s="17"/>
      <c r="QJC32" s="17"/>
      <c r="QJD32" s="17"/>
      <c r="QJE32" s="17"/>
      <c r="QJF32" s="17"/>
      <c r="QJG32" s="17"/>
      <c r="QJH32" s="17"/>
      <c r="QJI32" s="17"/>
      <c r="QJJ32" s="17"/>
      <c r="QJK32" s="17"/>
      <c r="QJL32" s="17"/>
      <c r="QJM32" s="17"/>
      <c r="QJN32" s="17"/>
      <c r="QJO32" s="17"/>
      <c r="QJP32" s="17"/>
      <c r="QJQ32" s="17"/>
      <c r="QJR32" s="17"/>
      <c r="QJS32" s="17"/>
      <c r="QJT32" s="17"/>
      <c r="QJU32" s="17"/>
      <c r="QJV32" s="17"/>
      <c r="QJW32" s="17"/>
      <c r="QJX32" s="17"/>
      <c r="QJY32" s="17"/>
      <c r="QJZ32" s="17"/>
      <c r="QKA32" s="17"/>
      <c r="QKB32" s="17"/>
      <c r="QKC32" s="17"/>
      <c r="QKD32" s="17"/>
      <c r="QKE32" s="17"/>
      <c r="QKF32" s="17"/>
      <c r="QKG32" s="17"/>
      <c r="QKH32" s="17"/>
      <c r="QKI32" s="17"/>
      <c r="QKJ32" s="17"/>
      <c r="QKK32" s="17"/>
      <c r="QKL32" s="17"/>
      <c r="QKM32" s="17"/>
      <c r="QKN32" s="17"/>
      <c r="QKO32" s="17"/>
      <c r="QKP32" s="17"/>
      <c r="QKQ32" s="17"/>
      <c r="QKR32" s="17"/>
      <c r="QKS32" s="17"/>
      <c r="QKT32" s="17"/>
      <c r="QKU32" s="17"/>
      <c r="QKV32" s="17"/>
      <c r="QKW32" s="17"/>
      <c r="QKX32" s="17"/>
      <c r="QKY32" s="17"/>
      <c r="QKZ32" s="17"/>
      <c r="QLA32" s="17"/>
      <c r="QLB32" s="17"/>
      <c r="QLC32" s="17"/>
      <c r="QLD32" s="17"/>
      <c r="QLE32" s="17"/>
      <c r="QLF32" s="17"/>
      <c r="QLG32" s="17"/>
      <c r="QLH32" s="17"/>
      <c r="QLI32" s="17"/>
      <c r="QLJ32" s="17"/>
      <c r="QLK32" s="17"/>
      <c r="QLL32" s="17"/>
      <c r="QLM32" s="17"/>
      <c r="QLN32" s="17"/>
      <c r="QLO32" s="17"/>
      <c r="QLP32" s="17"/>
      <c r="QLQ32" s="17"/>
      <c r="QLR32" s="17"/>
      <c r="QLS32" s="17"/>
      <c r="QLT32" s="17"/>
      <c r="QLU32" s="17"/>
      <c r="QLV32" s="17"/>
      <c r="QLW32" s="17"/>
      <c r="QLX32" s="17"/>
      <c r="QLY32" s="17"/>
      <c r="QLZ32" s="17"/>
      <c r="QMA32" s="17"/>
      <c r="QMB32" s="17"/>
      <c r="QMC32" s="17"/>
      <c r="QMD32" s="17"/>
      <c r="QME32" s="17"/>
      <c r="QMF32" s="17"/>
      <c r="QMG32" s="17"/>
      <c r="QMH32" s="17"/>
      <c r="QMI32" s="17"/>
      <c r="QMJ32" s="17"/>
      <c r="QMK32" s="17"/>
      <c r="QML32" s="17"/>
      <c r="QMM32" s="17"/>
      <c r="QMN32" s="17"/>
      <c r="QMO32" s="17"/>
      <c r="QMP32" s="17"/>
      <c r="QMQ32" s="17"/>
      <c r="QMR32" s="17"/>
      <c r="QMS32" s="17"/>
      <c r="QMT32" s="17"/>
      <c r="QMU32" s="17"/>
      <c r="QMV32" s="17"/>
      <c r="QMW32" s="17"/>
      <c r="QMX32" s="17"/>
      <c r="QMY32" s="17"/>
      <c r="QMZ32" s="17"/>
      <c r="QNA32" s="17"/>
      <c r="QNB32" s="17"/>
      <c r="QNC32" s="17"/>
      <c r="QND32" s="17"/>
      <c r="QNE32" s="17"/>
      <c r="QNF32" s="17"/>
      <c r="QNG32" s="17"/>
      <c r="QNH32" s="17"/>
      <c r="QNI32" s="17"/>
      <c r="QNJ32" s="17"/>
      <c r="QNK32" s="17"/>
      <c r="QNL32" s="17"/>
      <c r="QNM32" s="17"/>
      <c r="QNN32" s="17"/>
      <c r="QNO32" s="17"/>
      <c r="QNP32" s="17"/>
      <c r="QNQ32" s="17"/>
      <c r="QNR32" s="17"/>
      <c r="QNS32" s="17"/>
      <c r="QNT32" s="17"/>
      <c r="QNU32" s="17"/>
      <c r="QNV32" s="17"/>
      <c r="QNW32" s="17"/>
      <c r="QNX32" s="17"/>
      <c r="QNY32" s="17"/>
      <c r="QNZ32" s="17"/>
      <c r="QOA32" s="17"/>
      <c r="QOB32" s="17"/>
      <c r="QOC32" s="17"/>
      <c r="QOD32" s="17"/>
      <c r="QOE32" s="17"/>
      <c r="QOF32" s="17"/>
      <c r="QOG32" s="17"/>
      <c r="QOH32" s="17"/>
      <c r="QOI32" s="17"/>
      <c r="QOJ32" s="17"/>
      <c r="QOK32" s="17"/>
      <c r="QOL32" s="17"/>
      <c r="QOM32" s="17"/>
      <c r="QON32" s="17"/>
      <c r="QOO32" s="17"/>
      <c r="QOP32" s="17"/>
      <c r="QOQ32" s="17"/>
      <c r="QOR32" s="17"/>
      <c r="QOS32" s="17"/>
      <c r="QOT32" s="17"/>
      <c r="QOU32" s="17"/>
      <c r="QOV32" s="17"/>
      <c r="QOW32" s="17"/>
      <c r="QOX32" s="17"/>
      <c r="QOY32" s="17"/>
      <c r="QOZ32" s="17"/>
      <c r="QPA32" s="17"/>
      <c r="QPB32" s="17"/>
      <c r="QPC32" s="17"/>
      <c r="QPD32" s="17"/>
      <c r="QPE32" s="17"/>
      <c r="QPF32" s="17"/>
      <c r="QPG32" s="17"/>
      <c r="QPH32" s="17"/>
      <c r="QPI32" s="17"/>
      <c r="QPJ32" s="17"/>
      <c r="QPK32" s="17"/>
      <c r="QPL32" s="17"/>
      <c r="QPM32" s="17"/>
      <c r="QPN32" s="17"/>
      <c r="QPO32" s="17"/>
      <c r="QPP32" s="17"/>
      <c r="QPQ32" s="17"/>
      <c r="QPR32" s="17"/>
      <c r="QPS32" s="17"/>
      <c r="QPT32" s="17"/>
      <c r="QPU32" s="17"/>
      <c r="QPV32" s="17"/>
      <c r="QPW32" s="17"/>
      <c r="QPX32" s="17"/>
      <c r="QPY32" s="17"/>
      <c r="QPZ32" s="17"/>
      <c r="QQA32" s="17"/>
      <c r="QQB32" s="17"/>
      <c r="QQC32" s="17"/>
      <c r="QQD32" s="17"/>
      <c r="QQE32" s="17"/>
      <c r="QQF32" s="17"/>
      <c r="QQG32" s="17"/>
      <c r="QQH32" s="17"/>
      <c r="QQI32" s="17"/>
      <c r="QQJ32" s="17"/>
      <c r="QQK32" s="17"/>
      <c r="QQL32" s="17"/>
      <c r="QQM32" s="17"/>
      <c r="QQN32" s="17"/>
      <c r="QQO32" s="17"/>
      <c r="QQP32" s="17"/>
      <c r="QQQ32" s="17"/>
      <c r="QQR32" s="17"/>
      <c r="QQS32" s="17"/>
      <c r="QQT32" s="17"/>
      <c r="QQU32" s="17"/>
      <c r="QQV32" s="17"/>
      <c r="QQW32" s="17"/>
      <c r="QQX32" s="17"/>
      <c r="QQY32" s="17"/>
      <c r="QQZ32" s="17"/>
      <c r="QRA32" s="17"/>
      <c r="QRB32" s="17"/>
      <c r="QRC32" s="17"/>
      <c r="QRD32" s="17"/>
      <c r="QRE32" s="17"/>
      <c r="QRF32" s="17"/>
      <c r="QRG32" s="17"/>
      <c r="QRH32" s="17"/>
      <c r="QRI32" s="17"/>
      <c r="QRJ32" s="17"/>
      <c r="QRK32" s="17"/>
      <c r="QRL32" s="17"/>
      <c r="QRM32" s="17"/>
      <c r="QRN32" s="17"/>
      <c r="QRO32" s="17"/>
      <c r="QRP32" s="17"/>
      <c r="QRQ32" s="17"/>
      <c r="QRR32" s="17"/>
      <c r="QRS32" s="17"/>
      <c r="QRT32" s="17"/>
      <c r="QRU32" s="17"/>
      <c r="QRV32" s="17"/>
      <c r="QRW32" s="17"/>
      <c r="QRX32" s="17"/>
      <c r="QRY32" s="17"/>
      <c r="QRZ32" s="17"/>
      <c r="QSA32" s="17"/>
      <c r="QSB32" s="17"/>
      <c r="QSC32" s="17"/>
      <c r="QSD32" s="17"/>
      <c r="QSE32" s="17"/>
      <c r="QSF32" s="17"/>
      <c r="QSG32" s="17"/>
      <c r="QSH32" s="17"/>
      <c r="QSI32" s="17"/>
      <c r="QSJ32" s="17"/>
      <c r="QSK32" s="17"/>
      <c r="QSL32" s="17"/>
      <c r="QSM32" s="17"/>
      <c r="QSN32" s="17"/>
      <c r="QSO32" s="17"/>
      <c r="QSP32" s="17"/>
      <c r="QSQ32" s="17"/>
      <c r="QSR32" s="17"/>
      <c r="QSS32" s="17"/>
      <c r="QST32" s="17"/>
      <c r="QSU32" s="17"/>
      <c r="QSV32" s="17"/>
      <c r="QSW32" s="17"/>
      <c r="QSX32" s="17"/>
      <c r="QSY32" s="17"/>
      <c r="QSZ32" s="17"/>
      <c r="QTA32" s="17"/>
      <c r="QTB32" s="17"/>
      <c r="QTC32" s="17"/>
      <c r="QTD32" s="17"/>
      <c r="QTE32" s="17"/>
      <c r="QTF32" s="17"/>
      <c r="QTG32" s="17"/>
      <c r="QTH32" s="17"/>
      <c r="QTI32" s="17"/>
      <c r="QTJ32" s="17"/>
      <c r="QTK32" s="17"/>
      <c r="QTL32" s="17"/>
      <c r="QTM32" s="17"/>
      <c r="QTN32" s="17"/>
      <c r="QTO32" s="17"/>
      <c r="QTP32" s="17"/>
      <c r="QTQ32" s="17"/>
      <c r="QTR32" s="17"/>
      <c r="QTS32" s="17"/>
      <c r="QTT32" s="17"/>
      <c r="QTU32" s="17"/>
      <c r="QTV32" s="17"/>
      <c r="QTW32" s="17"/>
      <c r="QTX32" s="17"/>
      <c r="QTY32" s="17"/>
      <c r="QTZ32" s="17"/>
      <c r="QUA32" s="17"/>
      <c r="QUB32" s="17"/>
      <c r="QUC32" s="17"/>
      <c r="QUD32" s="17"/>
      <c r="QUE32" s="17"/>
      <c r="QUF32" s="17"/>
      <c r="QUG32" s="17"/>
      <c r="QUH32" s="17"/>
      <c r="QUI32" s="17"/>
      <c r="QUJ32" s="17"/>
      <c r="QUK32" s="17"/>
      <c r="QUL32" s="17"/>
      <c r="QUM32" s="17"/>
      <c r="QUN32" s="17"/>
      <c r="QUO32" s="17"/>
      <c r="QUP32" s="17"/>
      <c r="QUQ32" s="17"/>
      <c r="QUR32" s="17"/>
      <c r="QUS32" s="17"/>
      <c r="QUT32" s="17"/>
      <c r="QUU32" s="17"/>
      <c r="QUV32" s="17"/>
      <c r="QUW32" s="17"/>
      <c r="QUX32" s="17"/>
      <c r="QUY32" s="17"/>
      <c r="QUZ32" s="17"/>
      <c r="QVA32" s="17"/>
      <c r="QVB32" s="17"/>
      <c r="QVC32" s="17"/>
      <c r="QVD32" s="17"/>
      <c r="QVE32" s="17"/>
      <c r="QVF32" s="17"/>
      <c r="QVG32" s="17"/>
      <c r="QVH32" s="17"/>
      <c r="QVI32" s="17"/>
      <c r="QVJ32" s="17"/>
      <c r="QVK32" s="17"/>
      <c r="QVL32" s="17"/>
      <c r="QVM32" s="17"/>
      <c r="QVN32" s="17"/>
      <c r="QVO32" s="17"/>
      <c r="QVP32" s="17"/>
      <c r="QVQ32" s="17"/>
      <c r="QVR32" s="17"/>
      <c r="QVS32" s="17"/>
      <c r="QVT32" s="17"/>
      <c r="QVU32" s="17"/>
      <c r="QVV32" s="17"/>
      <c r="QVW32" s="17"/>
      <c r="QVX32" s="17"/>
      <c r="QVY32" s="17"/>
      <c r="QVZ32" s="17"/>
      <c r="QWA32" s="17"/>
      <c r="QWB32" s="17"/>
      <c r="QWC32" s="17"/>
      <c r="QWD32" s="17"/>
      <c r="QWE32" s="17"/>
      <c r="QWF32" s="17"/>
      <c r="QWG32" s="17"/>
      <c r="QWH32" s="17"/>
      <c r="QWI32" s="17"/>
      <c r="QWJ32" s="17"/>
      <c r="QWK32" s="17"/>
      <c r="QWL32" s="17"/>
      <c r="QWM32" s="17"/>
      <c r="QWN32" s="17"/>
      <c r="QWO32" s="17"/>
      <c r="QWP32" s="17"/>
      <c r="QWQ32" s="17"/>
      <c r="QWR32" s="17"/>
      <c r="QWS32" s="17"/>
      <c r="QWT32" s="17"/>
      <c r="QWU32" s="17"/>
      <c r="QWV32" s="17"/>
      <c r="QWW32" s="17"/>
      <c r="QWX32" s="17"/>
      <c r="QWY32" s="17"/>
      <c r="QWZ32" s="17"/>
      <c r="QXA32" s="17"/>
      <c r="QXB32" s="17"/>
      <c r="QXC32" s="17"/>
      <c r="QXD32" s="17"/>
      <c r="QXE32" s="17"/>
      <c r="QXF32" s="17"/>
      <c r="QXG32" s="17"/>
      <c r="QXH32" s="17"/>
      <c r="QXI32" s="17"/>
      <c r="QXJ32" s="17"/>
      <c r="QXK32" s="17"/>
      <c r="QXL32" s="17"/>
      <c r="QXM32" s="17"/>
      <c r="QXN32" s="17"/>
      <c r="QXO32" s="17"/>
      <c r="QXP32" s="17"/>
      <c r="QXQ32" s="17"/>
      <c r="QXR32" s="17"/>
      <c r="QXS32" s="17"/>
      <c r="QXT32" s="17"/>
      <c r="QXU32" s="17"/>
      <c r="QXV32" s="17"/>
      <c r="QXW32" s="17"/>
      <c r="QXX32" s="17"/>
      <c r="QXY32" s="17"/>
      <c r="QXZ32" s="17"/>
      <c r="QYA32" s="17"/>
      <c r="QYB32" s="17"/>
      <c r="QYC32" s="17"/>
      <c r="QYD32" s="17"/>
      <c r="QYE32" s="17"/>
      <c r="QYF32" s="17"/>
      <c r="QYG32" s="17"/>
      <c r="QYH32" s="17"/>
      <c r="QYI32" s="17"/>
      <c r="QYJ32" s="17"/>
      <c r="QYK32" s="17"/>
      <c r="QYL32" s="17"/>
      <c r="QYM32" s="17"/>
      <c r="QYN32" s="17"/>
      <c r="QYO32" s="17"/>
      <c r="QYP32" s="17"/>
      <c r="QYQ32" s="17"/>
      <c r="QYR32" s="17"/>
      <c r="QYS32" s="17"/>
      <c r="QYT32" s="17"/>
      <c r="QYU32" s="17"/>
      <c r="QYV32" s="17"/>
      <c r="QYW32" s="17"/>
      <c r="QYX32" s="17"/>
      <c r="QYY32" s="17"/>
      <c r="QYZ32" s="17"/>
      <c r="QZA32" s="17"/>
      <c r="QZB32" s="17"/>
      <c r="QZC32" s="17"/>
      <c r="QZD32" s="17"/>
      <c r="QZE32" s="17"/>
      <c r="QZF32" s="17"/>
      <c r="QZG32" s="17"/>
      <c r="QZH32" s="17"/>
      <c r="QZI32" s="17"/>
      <c r="QZJ32" s="17"/>
      <c r="QZK32" s="17"/>
      <c r="QZL32" s="17"/>
      <c r="QZM32" s="17"/>
      <c r="QZN32" s="17"/>
      <c r="QZO32" s="17"/>
      <c r="QZP32" s="17"/>
      <c r="QZQ32" s="17"/>
      <c r="QZR32" s="17"/>
      <c r="QZS32" s="17"/>
      <c r="QZT32" s="17"/>
      <c r="QZU32" s="17"/>
      <c r="QZV32" s="17"/>
      <c r="QZW32" s="17"/>
      <c r="QZX32" s="17"/>
      <c r="QZY32" s="17"/>
      <c r="QZZ32" s="17"/>
      <c r="RAA32" s="17"/>
      <c r="RAB32" s="17"/>
      <c r="RAC32" s="17"/>
      <c r="RAD32" s="17"/>
      <c r="RAE32" s="17"/>
      <c r="RAF32" s="17"/>
      <c r="RAG32" s="17"/>
      <c r="RAH32" s="17"/>
      <c r="RAI32" s="17"/>
      <c r="RAJ32" s="17"/>
      <c r="RAK32" s="17"/>
      <c r="RAL32" s="17"/>
      <c r="RAM32" s="17"/>
      <c r="RAN32" s="17"/>
      <c r="RAO32" s="17"/>
      <c r="RAP32" s="17"/>
      <c r="RAQ32" s="17"/>
      <c r="RAR32" s="17"/>
      <c r="RAS32" s="17"/>
      <c r="RAT32" s="17"/>
      <c r="RAU32" s="17"/>
      <c r="RAV32" s="17"/>
      <c r="RAW32" s="17"/>
      <c r="RAX32" s="17"/>
      <c r="RAY32" s="17"/>
      <c r="RAZ32" s="17"/>
      <c r="RBA32" s="17"/>
      <c r="RBB32" s="17"/>
      <c r="RBC32" s="17"/>
      <c r="RBD32" s="17"/>
      <c r="RBE32" s="17"/>
      <c r="RBF32" s="17"/>
      <c r="RBG32" s="17"/>
      <c r="RBH32" s="17"/>
      <c r="RBI32" s="17"/>
      <c r="RBJ32" s="17"/>
      <c r="RBK32" s="17"/>
      <c r="RBL32" s="17"/>
      <c r="RBM32" s="17"/>
      <c r="RBN32" s="17"/>
      <c r="RBO32" s="17"/>
      <c r="RBP32" s="17"/>
      <c r="RBQ32" s="17"/>
      <c r="RBR32" s="17"/>
      <c r="RBS32" s="17"/>
      <c r="RBT32" s="17"/>
      <c r="RBU32" s="17"/>
      <c r="RBV32" s="17"/>
      <c r="RBW32" s="17"/>
      <c r="RBX32" s="17"/>
      <c r="RBY32" s="17"/>
      <c r="RBZ32" s="17"/>
      <c r="RCA32" s="17"/>
      <c r="RCB32" s="17"/>
      <c r="RCC32" s="17"/>
      <c r="RCD32" s="17"/>
      <c r="RCE32" s="17"/>
      <c r="RCF32" s="17"/>
      <c r="RCG32" s="17"/>
      <c r="RCH32" s="17"/>
      <c r="RCI32" s="17"/>
      <c r="RCJ32" s="17"/>
      <c r="RCK32" s="17"/>
      <c r="RCL32" s="17"/>
      <c r="RCM32" s="17"/>
      <c r="RCN32" s="17"/>
      <c r="RCO32" s="17"/>
      <c r="RCP32" s="17"/>
      <c r="RCQ32" s="17"/>
      <c r="RCR32" s="17"/>
      <c r="RCS32" s="17"/>
      <c r="RCT32" s="17"/>
      <c r="RCU32" s="17"/>
      <c r="RCV32" s="17"/>
      <c r="RCW32" s="17"/>
      <c r="RCX32" s="17"/>
      <c r="RCY32" s="17"/>
      <c r="RCZ32" s="17"/>
      <c r="RDA32" s="17"/>
      <c r="RDB32" s="17"/>
      <c r="RDC32" s="17"/>
      <c r="RDD32" s="17"/>
      <c r="RDE32" s="17"/>
      <c r="RDF32" s="17"/>
      <c r="RDG32" s="17"/>
      <c r="RDH32" s="17"/>
      <c r="RDI32" s="17"/>
      <c r="RDJ32" s="17"/>
      <c r="RDK32" s="17"/>
      <c r="RDL32" s="17"/>
      <c r="RDM32" s="17"/>
      <c r="RDN32" s="17"/>
      <c r="RDO32" s="17"/>
      <c r="RDP32" s="17"/>
      <c r="RDQ32" s="17"/>
      <c r="RDR32" s="17"/>
      <c r="RDS32" s="17"/>
      <c r="RDT32" s="17"/>
      <c r="RDU32" s="17"/>
      <c r="RDV32" s="17"/>
      <c r="RDW32" s="17"/>
      <c r="RDX32" s="17"/>
      <c r="RDY32" s="17"/>
      <c r="RDZ32" s="17"/>
      <c r="REA32" s="17"/>
      <c r="REB32" s="17"/>
      <c r="REC32" s="17"/>
      <c r="RED32" s="17"/>
      <c r="REE32" s="17"/>
      <c r="REF32" s="17"/>
      <c r="REG32" s="17"/>
      <c r="REH32" s="17"/>
      <c r="REI32" s="17"/>
      <c r="REJ32" s="17"/>
      <c r="REK32" s="17"/>
      <c r="REL32" s="17"/>
      <c r="REM32" s="17"/>
      <c r="REN32" s="17"/>
      <c r="REO32" s="17"/>
      <c r="REP32" s="17"/>
      <c r="REQ32" s="17"/>
      <c r="RER32" s="17"/>
      <c r="RES32" s="17"/>
      <c r="RET32" s="17"/>
      <c r="REU32" s="17"/>
      <c r="REV32" s="17"/>
      <c r="REW32" s="17"/>
      <c r="REX32" s="17"/>
      <c r="REY32" s="17"/>
      <c r="REZ32" s="17"/>
      <c r="RFA32" s="17"/>
      <c r="RFB32" s="17"/>
      <c r="RFC32" s="17"/>
      <c r="RFD32" s="17"/>
      <c r="RFE32" s="17"/>
      <c r="RFF32" s="17"/>
      <c r="RFG32" s="17"/>
      <c r="RFH32" s="17"/>
      <c r="RFI32" s="17"/>
      <c r="RFJ32" s="17"/>
      <c r="RFK32" s="17"/>
      <c r="RFL32" s="17"/>
      <c r="RFM32" s="17"/>
      <c r="RFN32" s="17"/>
      <c r="RFO32" s="17"/>
      <c r="RFP32" s="17"/>
      <c r="RFQ32" s="17"/>
      <c r="RFR32" s="17"/>
      <c r="RFS32" s="17"/>
      <c r="RFT32" s="17"/>
      <c r="RFU32" s="17"/>
      <c r="RFV32" s="17"/>
      <c r="RFW32" s="17"/>
      <c r="RFX32" s="17"/>
      <c r="RFY32" s="17"/>
      <c r="RFZ32" s="17"/>
      <c r="RGA32" s="17"/>
      <c r="RGB32" s="17"/>
      <c r="RGC32" s="17"/>
      <c r="RGD32" s="17"/>
      <c r="RGE32" s="17"/>
      <c r="RGF32" s="17"/>
      <c r="RGG32" s="17"/>
      <c r="RGH32" s="17"/>
      <c r="RGI32" s="17"/>
      <c r="RGJ32" s="17"/>
      <c r="RGK32" s="17"/>
      <c r="RGL32" s="17"/>
      <c r="RGM32" s="17"/>
      <c r="RGN32" s="17"/>
      <c r="RGO32" s="17"/>
      <c r="RGP32" s="17"/>
      <c r="RGQ32" s="17"/>
      <c r="RGR32" s="17"/>
      <c r="RGS32" s="17"/>
      <c r="RGT32" s="17"/>
      <c r="RGU32" s="17"/>
      <c r="RGV32" s="17"/>
      <c r="RGW32" s="17"/>
      <c r="RGX32" s="17"/>
      <c r="RGY32" s="17"/>
      <c r="RGZ32" s="17"/>
      <c r="RHA32" s="17"/>
      <c r="RHB32" s="17"/>
      <c r="RHC32" s="17"/>
      <c r="RHD32" s="17"/>
      <c r="RHE32" s="17"/>
      <c r="RHF32" s="17"/>
      <c r="RHG32" s="17"/>
      <c r="RHH32" s="17"/>
      <c r="RHI32" s="17"/>
      <c r="RHJ32" s="17"/>
      <c r="RHK32" s="17"/>
      <c r="RHL32" s="17"/>
      <c r="RHM32" s="17"/>
      <c r="RHN32" s="17"/>
      <c r="RHO32" s="17"/>
      <c r="RHP32" s="17"/>
      <c r="RHQ32" s="17"/>
      <c r="RHR32" s="17"/>
      <c r="RHS32" s="17"/>
      <c r="RHT32" s="17"/>
      <c r="RHU32" s="17"/>
      <c r="RHV32" s="17"/>
      <c r="RHW32" s="17"/>
      <c r="RHX32" s="17"/>
      <c r="RHY32" s="17"/>
      <c r="RHZ32" s="17"/>
      <c r="RIA32" s="17"/>
      <c r="RIB32" s="17"/>
      <c r="RIC32" s="17"/>
      <c r="RID32" s="17"/>
      <c r="RIE32" s="17"/>
      <c r="RIF32" s="17"/>
      <c r="RIG32" s="17"/>
      <c r="RIH32" s="17"/>
      <c r="RII32" s="17"/>
      <c r="RIJ32" s="17"/>
      <c r="RIK32" s="17"/>
      <c r="RIL32" s="17"/>
      <c r="RIM32" s="17"/>
      <c r="RIN32" s="17"/>
      <c r="RIO32" s="17"/>
      <c r="RIP32" s="17"/>
      <c r="RIQ32" s="17"/>
      <c r="RIR32" s="17"/>
      <c r="RIS32" s="17"/>
      <c r="RIT32" s="17"/>
      <c r="RIU32" s="17"/>
      <c r="RIV32" s="17"/>
      <c r="RIW32" s="17"/>
      <c r="RIX32" s="17"/>
      <c r="RIY32" s="17"/>
      <c r="RIZ32" s="17"/>
      <c r="RJA32" s="17"/>
      <c r="RJB32" s="17"/>
      <c r="RJC32" s="17"/>
      <c r="RJD32" s="17"/>
      <c r="RJE32" s="17"/>
      <c r="RJF32" s="17"/>
      <c r="RJG32" s="17"/>
      <c r="RJH32" s="17"/>
      <c r="RJI32" s="17"/>
      <c r="RJJ32" s="17"/>
      <c r="RJK32" s="17"/>
      <c r="RJL32" s="17"/>
      <c r="RJM32" s="17"/>
      <c r="RJN32" s="17"/>
      <c r="RJO32" s="17"/>
      <c r="RJP32" s="17"/>
      <c r="RJQ32" s="17"/>
      <c r="RJR32" s="17"/>
      <c r="RJS32" s="17"/>
      <c r="RJT32" s="17"/>
      <c r="RJU32" s="17"/>
      <c r="RJV32" s="17"/>
      <c r="RJW32" s="17"/>
      <c r="RJX32" s="17"/>
      <c r="RJY32" s="17"/>
      <c r="RJZ32" s="17"/>
      <c r="RKA32" s="17"/>
      <c r="RKB32" s="17"/>
      <c r="RKC32" s="17"/>
      <c r="RKD32" s="17"/>
      <c r="RKE32" s="17"/>
      <c r="RKF32" s="17"/>
      <c r="RKG32" s="17"/>
      <c r="RKH32" s="17"/>
      <c r="RKI32" s="17"/>
      <c r="RKJ32" s="17"/>
      <c r="RKK32" s="17"/>
      <c r="RKL32" s="17"/>
      <c r="RKM32" s="17"/>
      <c r="RKN32" s="17"/>
      <c r="RKO32" s="17"/>
      <c r="RKP32" s="17"/>
      <c r="RKQ32" s="17"/>
      <c r="RKR32" s="17"/>
      <c r="RKS32" s="17"/>
      <c r="RKT32" s="17"/>
      <c r="RKU32" s="17"/>
      <c r="RKV32" s="17"/>
      <c r="RKW32" s="17"/>
      <c r="RKX32" s="17"/>
      <c r="RKY32" s="17"/>
      <c r="RKZ32" s="17"/>
      <c r="RLA32" s="17"/>
      <c r="RLB32" s="17"/>
      <c r="RLC32" s="17"/>
      <c r="RLD32" s="17"/>
      <c r="RLE32" s="17"/>
      <c r="RLF32" s="17"/>
      <c r="RLG32" s="17"/>
      <c r="RLH32" s="17"/>
      <c r="RLI32" s="17"/>
      <c r="RLJ32" s="17"/>
      <c r="RLK32" s="17"/>
      <c r="RLL32" s="17"/>
      <c r="RLM32" s="17"/>
      <c r="RLN32" s="17"/>
      <c r="RLO32" s="17"/>
      <c r="RLP32" s="17"/>
      <c r="RLQ32" s="17"/>
      <c r="RLR32" s="17"/>
      <c r="RLS32" s="17"/>
      <c r="RLT32" s="17"/>
      <c r="RLU32" s="17"/>
      <c r="RLV32" s="17"/>
      <c r="RLW32" s="17"/>
      <c r="RLX32" s="17"/>
      <c r="RLY32" s="17"/>
      <c r="RLZ32" s="17"/>
      <c r="RMA32" s="17"/>
      <c r="RMB32" s="17"/>
      <c r="RMC32" s="17"/>
      <c r="RMD32" s="17"/>
      <c r="RME32" s="17"/>
      <c r="RMF32" s="17"/>
      <c r="RMG32" s="17"/>
      <c r="RMH32" s="17"/>
      <c r="RMI32" s="17"/>
      <c r="RMJ32" s="17"/>
      <c r="RMK32" s="17"/>
      <c r="RML32" s="17"/>
      <c r="RMM32" s="17"/>
      <c r="RMN32" s="17"/>
      <c r="RMO32" s="17"/>
      <c r="RMP32" s="17"/>
      <c r="RMQ32" s="17"/>
      <c r="RMR32" s="17"/>
      <c r="RMS32" s="17"/>
      <c r="RMT32" s="17"/>
      <c r="RMU32" s="17"/>
      <c r="RMV32" s="17"/>
      <c r="RMW32" s="17"/>
      <c r="RMX32" s="17"/>
      <c r="RMY32" s="17"/>
      <c r="RMZ32" s="17"/>
      <c r="RNA32" s="17"/>
      <c r="RNB32" s="17"/>
      <c r="RNC32" s="17"/>
      <c r="RND32" s="17"/>
      <c r="RNE32" s="17"/>
      <c r="RNF32" s="17"/>
      <c r="RNG32" s="17"/>
      <c r="RNH32" s="17"/>
      <c r="RNI32" s="17"/>
      <c r="RNJ32" s="17"/>
      <c r="RNK32" s="17"/>
      <c r="RNL32" s="17"/>
      <c r="RNM32" s="17"/>
      <c r="RNN32" s="17"/>
      <c r="RNO32" s="17"/>
      <c r="RNP32" s="17"/>
      <c r="RNQ32" s="17"/>
      <c r="RNR32" s="17"/>
      <c r="RNS32" s="17"/>
      <c r="RNT32" s="17"/>
      <c r="RNU32" s="17"/>
      <c r="RNV32" s="17"/>
      <c r="RNW32" s="17"/>
      <c r="RNX32" s="17"/>
      <c r="RNY32" s="17"/>
      <c r="RNZ32" s="17"/>
      <c r="ROA32" s="17"/>
      <c r="ROB32" s="17"/>
      <c r="ROC32" s="17"/>
      <c r="ROD32" s="17"/>
      <c r="ROE32" s="17"/>
      <c r="ROF32" s="17"/>
      <c r="ROG32" s="17"/>
      <c r="ROH32" s="17"/>
      <c r="ROI32" s="17"/>
      <c r="ROJ32" s="17"/>
      <c r="ROK32" s="17"/>
      <c r="ROL32" s="17"/>
      <c r="ROM32" s="17"/>
      <c r="RON32" s="17"/>
      <c r="ROO32" s="17"/>
      <c r="ROP32" s="17"/>
      <c r="ROQ32" s="17"/>
      <c r="ROR32" s="17"/>
      <c r="ROS32" s="17"/>
      <c r="ROT32" s="17"/>
      <c r="ROU32" s="17"/>
      <c r="ROV32" s="17"/>
      <c r="ROW32" s="17"/>
      <c r="ROX32" s="17"/>
      <c r="ROY32" s="17"/>
      <c r="ROZ32" s="17"/>
      <c r="RPA32" s="17"/>
      <c r="RPB32" s="17"/>
      <c r="RPC32" s="17"/>
      <c r="RPD32" s="17"/>
      <c r="RPE32" s="17"/>
      <c r="RPF32" s="17"/>
      <c r="RPG32" s="17"/>
      <c r="RPH32" s="17"/>
      <c r="RPI32" s="17"/>
      <c r="RPJ32" s="17"/>
      <c r="RPK32" s="17"/>
      <c r="RPL32" s="17"/>
      <c r="RPM32" s="17"/>
      <c r="RPN32" s="17"/>
      <c r="RPO32" s="17"/>
      <c r="RPP32" s="17"/>
      <c r="RPQ32" s="17"/>
      <c r="RPR32" s="17"/>
      <c r="RPS32" s="17"/>
      <c r="RPT32" s="17"/>
      <c r="RPU32" s="17"/>
      <c r="RPV32" s="17"/>
      <c r="RPW32" s="17"/>
      <c r="RPX32" s="17"/>
      <c r="RPY32" s="17"/>
      <c r="RPZ32" s="17"/>
      <c r="RQA32" s="17"/>
      <c r="RQB32" s="17"/>
      <c r="RQC32" s="17"/>
      <c r="RQD32" s="17"/>
      <c r="RQE32" s="17"/>
      <c r="RQF32" s="17"/>
      <c r="RQG32" s="17"/>
      <c r="RQH32" s="17"/>
      <c r="RQI32" s="17"/>
      <c r="RQJ32" s="17"/>
      <c r="RQK32" s="17"/>
      <c r="RQL32" s="17"/>
      <c r="RQM32" s="17"/>
      <c r="RQN32" s="17"/>
      <c r="RQO32" s="17"/>
      <c r="RQP32" s="17"/>
      <c r="RQQ32" s="17"/>
      <c r="RQR32" s="17"/>
      <c r="RQS32" s="17"/>
      <c r="RQT32" s="17"/>
      <c r="RQU32" s="17"/>
      <c r="RQV32" s="17"/>
      <c r="RQW32" s="17"/>
      <c r="RQX32" s="17"/>
      <c r="RQY32" s="17"/>
      <c r="RQZ32" s="17"/>
      <c r="RRA32" s="17"/>
      <c r="RRB32" s="17"/>
      <c r="RRC32" s="17"/>
      <c r="RRD32" s="17"/>
      <c r="RRE32" s="17"/>
      <c r="RRF32" s="17"/>
      <c r="RRG32" s="17"/>
      <c r="RRH32" s="17"/>
      <c r="RRI32" s="17"/>
      <c r="RRJ32" s="17"/>
      <c r="RRK32" s="17"/>
      <c r="RRL32" s="17"/>
      <c r="RRM32" s="17"/>
      <c r="RRN32" s="17"/>
      <c r="RRO32" s="17"/>
      <c r="RRP32" s="17"/>
      <c r="RRQ32" s="17"/>
      <c r="RRR32" s="17"/>
      <c r="RRS32" s="17"/>
      <c r="RRT32" s="17"/>
      <c r="RRU32" s="17"/>
      <c r="RRV32" s="17"/>
      <c r="RRW32" s="17"/>
      <c r="RRX32" s="17"/>
      <c r="RRY32" s="17"/>
      <c r="RRZ32" s="17"/>
      <c r="RSA32" s="17"/>
      <c r="RSB32" s="17"/>
      <c r="RSC32" s="17"/>
      <c r="RSD32" s="17"/>
      <c r="RSE32" s="17"/>
      <c r="RSF32" s="17"/>
      <c r="RSG32" s="17"/>
      <c r="RSH32" s="17"/>
      <c r="RSI32" s="17"/>
      <c r="RSJ32" s="17"/>
      <c r="RSK32" s="17"/>
      <c r="RSL32" s="17"/>
      <c r="RSM32" s="17"/>
      <c r="RSN32" s="17"/>
      <c r="RSO32" s="17"/>
      <c r="RSP32" s="17"/>
      <c r="RSQ32" s="17"/>
      <c r="RSR32" s="17"/>
      <c r="RSS32" s="17"/>
      <c r="RST32" s="17"/>
      <c r="RSU32" s="17"/>
      <c r="RSV32" s="17"/>
      <c r="RSW32" s="17"/>
      <c r="RSX32" s="17"/>
      <c r="RSY32" s="17"/>
      <c r="RSZ32" s="17"/>
      <c r="RTA32" s="17"/>
      <c r="RTB32" s="17"/>
      <c r="RTC32" s="17"/>
      <c r="RTD32" s="17"/>
      <c r="RTE32" s="17"/>
      <c r="RTF32" s="17"/>
      <c r="RTG32" s="17"/>
      <c r="RTH32" s="17"/>
      <c r="RTI32" s="17"/>
      <c r="RTJ32" s="17"/>
      <c r="RTK32" s="17"/>
      <c r="RTL32" s="17"/>
      <c r="RTM32" s="17"/>
      <c r="RTN32" s="17"/>
      <c r="RTO32" s="17"/>
      <c r="RTP32" s="17"/>
      <c r="RTQ32" s="17"/>
      <c r="RTR32" s="17"/>
      <c r="RTS32" s="17"/>
      <c r="RTT32" s="17"/>
      <c r="RTU32" s="17"/>
      <c r="RTV32" s="17"/>
      <c r="RTW32" s="17"/>
      <c r="RTX32" s="17"/>
      <c r="RTY32" s="17"/>
      <c r="RTZ32" s="17"/>
      <c r="RUA32" s="17"/>
      <c r="RUB32" s="17"/>
      <c r="RUC32" s="17"/>
      <c r="RUD32" s="17"/>
      <c r="RUE32" s="17"/>
      <c r="RUF32" s="17"/>
      <c r="RUG32" s="17"/>
      <c r="RUH32" s="17"/>
      <c r="RUI32" s="17"/>
      <c r="RUJ32" s="17"/>
      <c r="RUK32" s="17"/>
      <c r="RUL32" s="17"/>
      <c r="RUM32" s="17"/>
      <c r="RUN32" s="17"/>
      <c r="RUO32" s="17"/>
      <c r="RUP32" s="17"/>
      <c r="RUQ32" s="17"/>
      <c r="RUR32" s="17"/>
      <c r="RUS32" s="17"/>
      <c r="RUT32" s="17"/>
      <c r="RUU32" s="17"/>
      <c r="RUV32" s="17"/>
      <c r="RUW32" s="17"/>
      <c r="RUX32" s="17"/>
      <c r="RUY32" s="17"/>
      <c r="RUZ32" s="17"/>
      <c r="RVA32" s="17"/>
      <c r="RVB32" s="17"/>
      <c r="RVC32" s="17"/>
      <c r="RVD32" s="17"/>
      <c r="RVE32" s="17"/>
      <c r="RVF32" s="17"/>
      <c r="RVG32" s="17"/>
      <c r="RVH32" s="17"/>
      <c r="RVI32" s="17"/>
      <c r="RVJ32" s="17"/>
      <c r="RVK32" s="17"/>
      <c r="RVL32" s="17"/>
      <c r="RVM32" s="17"/>
      <c r="RVN32" s="17"/>
      <c r="RVO32" s="17"/>
      <c r="RVP32" s="17"/>
      <c r="RVQ32" s="17"/>
      <c r="RVR32" s="17"/>
      <c r="RVS32" s="17"/>
      <c r="RVT32" s="17"/>
      <c r="RVU32" s="17"/>
      <c r="RVV32" s="17"/>
      <c r="RVW32" s="17"/>
      <c r="RVX32" s="17"/>
      <c r="RVY32" s="17"/>
      <c r="RVZ32" s="17"/>
      <c r="RWA32" s="17"/>
      <c r="RWB32" s="17"/>
      <c r="RWC32" s="17"/>
      <c r="RWD32" s="17"/>
      <c r="RWE32" s="17"/>
      <c r="RWF32" s="17"/>
      <c r="RWG32" s="17"/>
      <c r="RWH32" s="17"/>
      <c r="RWI32" s="17"/>
      <c r="RWJ32" s="17"/>
      <c r="RWK32" s="17"/>
      <c r="RWL32" s="17"/>
      <c r="RWM32" s="17"/>
      <c r="RWN32" s="17"/>
      <c r="RWO32" s="17"/>
      <c r="RWP32" s="17"/>
      <c r="RWQ32" s="17"/>
      <c r="RWR32" s="17"/>
      <c r="RWS32" s="17"/>
      <c r="RWT32" s="17"/>
      <c r="RWU32" s="17"/>
      <c r="RWV32" s="17"/>
      <c r="RWW32" s="17"/>
      <c r="RWX32" s="17"/>
      <c r="RWY32" s="17"/>
      <c r="RWZ32" s="17"/>
      <c r="RXA32" s="17"/>
      <c r="RXB32" s="17"/>
      <c r="RXC32" s="17"/>
      <c r="RXD32" s="17"/>
      <c r="RXE32" s="17"/>
      <c r="RXF32" s="17"/>
      <c r="RXG32" s="17"/>
      <c r="RXH32" s="17"/>
      <c r="RXI32" s="17"/>
      <c r="RXJ32" s="17"/>
      <c r="RXK32" s="17"/>
      <c r="RXL32" s="17"/>
      <c r="RXM32" s="17"/>
      <c r="RXN32" s="17"/>
      <c r="RXO32" s="17"/>
      <c r="RXP32" s="17"/>
      <c r="RXQ32" s="17"/>
      <c r="RXR32" s="17"/>
      <c r="RXS32" s="17"/>
      <c r="RXT32" s="17"/>
      <c r="RXU32" s="17"/>
      <c r="RXV32" s="17"/>
      <c r="RXW32" s="17"/>
      <c r="RXX32" s="17"/>
      <c r="RXY32" s="17"/>
      <c r="RXZ32" s="17"/>
      <c r="RYA32" s="17"/>
      <c r="RYB32" s="17"/>
      <c r="RYC32" s="17"/>
      <c r="RYD32" s="17"/>
      <c r="RYE32" s="17"/>
      <c r="RYF32" s="17"/>
      <c r="RYG32" s="17"/>
      <c r="RYH32" s="17"/>
      <c r="RYI32" s="17"/>
      <c r="RYJ32" s="17"/>
      <c r="RYK32" s="17"/>
      <c r="RYL32" s="17"/>
      <c r="RYM32" s="17"/>
      <c r="RYN32" s="17"/>
      <c r="RYO32" s="17"/>
      <c r="RYP32" s="17"/>
      <c r="RYQ32" s="17"/>
      <c r="RYR32" s="17"/>
      <c r="RYS32" s="17"/>
      <c r="RYT32" s="17"/>
      <c r="RYU32" s="17"/>
      <c r="RYV32" s="17"/>
      <c r="RYW32" s="17"/>
      <c r="RYX32" s="17"/>
      <c r="RYY32" s="17"/>
      <c r="RYZ32" s="17"/>
      <c r="RZA32" s="17"/>
      <c r="RZB32" s="17"/>
      <c r="RZC32" s="17"/>
      <c r="RZD32" s="17"/>
      <c r="RZE32" s="17"/>
      <c r="RZF32" s="17"/>
      <c r="RZG32" s="17"/>
      <c r="RZH32" s="17"/>
      <c r="RZI32" s="17"/>
      <c r="RZJ32" s="17"/>
      <c r="RZK32" s="17"/>
      <c r="RZL32" s="17"/>
      <c r="RZM32" s="17"/>
      <c r="RZN32" s="17"/>
      <c r="RZO32" s="17"/>
      <c r="RZP32" s="17"/>
      <c r="RZQ32" s="17"/>
      <c r="RZR32" s="17"/>
      <c r="RZS32" s="17"/>
      <c r="RZT32" s="17"/>
      <c r="RZU32" s="17"/>
      <c r="RZV32" s="17"/>
      <c r="RZW32" s="17"/>
      <c r="RZX32" s="17"/>
      <c r="RZY32" s="17"/>
      <c r="RZZ32" s="17"/>
      <c r="SAA32" s="17"/>
      <c r="SAB32" s="17"/>
      <c r="SAC32" s="17"/>
      <c r="SAD32" s="17"/>
      <c r="SAE32" s="17"/>
      <c r="SAF32" s="17"/>
      <c r="SAG32" s="17"/>
      <c r="SAH32" s="17"/>
      <c r="SAI32" s="17"/>
      <c r="SAJ32" s="17"/>
      <c r="SAK32" s="17"/>
      <c r="SAL32" s="17"/>
      <c r="SAM32" s="17"/>
      <c r="SAN32" s="17"/>
      <c r="SAO32" s="17"/>
      <c r="SAP32" s="17"/>
      <c r="SAQ32" s="17"/>
      <c r="SAR32" s="17"/>
      <c r="SAS32" s="17"/>
      <c r="SAT32" s="17"/>
      <c r="SAU32" s="17"/>
      <c r="SAV32" s="17"/>
      <c r="SAW32" s="17"/>
      <c r="SAX32" s="17"/>
      <c r="SAY32" s="17"/>
      <c r="SAZ32" s="17"/>
      <c r="SBA32" s="17"/>
      <c r="SBB32" s="17"/>
      <c r="SBC32" s="17"/>
      <c r="SBD32" s="17"/>
      <c r="SBE32" s="17"/>
      <c r="SBF32" s="17"/>
      <c r="SBG32" s="17"/>
      <c r="SBH32" s="17"/>
      <c r="SBI32" s="17"/>
      <c r="SBJ32" s="17"/>
      <c r="SBK32" s="17"/>
      <c r="SBL32" s="17"/>
      <c r="SBM32" s="17"/>
      <c r="SBN32" s="17"/>
      <c r="SBO32" s="17"/>
      <c r="SBP32" s="17"/>
      <c r="SBQ32" s="17"/>
      <c r="SBR32" s="17"/>
      <c r="SBS32" s="17"/>
      <c r="SBT32" s="17"/>
      <c r="SBU32" s="17"/>
      <c r="SBV32" s="17"/>
      <c r="SBW32" s="17"/>
      <c r="SBX32" s="17"/>
      <c r="SBY32" s="17"/>
      <c r="SBZ32" s="17"/>
      <c r="SCA32" s="17"/>
      <c r="SCB32" s="17"/>
      <c r="SCC32" s="17"/>
      <c r="SCD32" s="17"/>
      <c r="SCE32" s="17"/>
      <c r="SCF32" s="17"/>
      <c r="SCG32" s="17"/>
      <c r="SCH32" s="17"/>
      <c r="SCI32" s="17"/>
      <c r="SCJ32" s="17"/>
      <c r="SCK32" s="17"/>
      <c r="SCL32" s="17"/>
      <c r="SCM32" s="17"/>
      <c r="SCN32" s="17"/>
      <c r="SCO32" s="17"/>
      <c r="SCP32" s="17"/>
      <c r="SCQ32" s="17"/>
      <c r="SCR32" s="17"/>
      <c r="SCS32" s="17"/>
      <c r="SCT32" s="17"/>
      <c r="SCU32" s="17"/>
      <c r="SCV32" s="17"/>
      <c r="SCW32" s="17"/>
      <c r="SCX32" s="17"/>
      <c r="SCY32" s="17"/>
      <c r="SCZ32" s="17"/>
      <c r="SDA32" s="17"/>
      <c r="SDB32" s="17"/>
      <c r="SDC32" s="17"/>
      <c r="SDD32" s="17"/>
      <c r="SDE32" s="17"/>
      <c r="SDF32" s="17"/>
      <c r="SDG32" s="17"/>
      <c r="SDH32" s="17"/>
      <c r="SDI32" s="17"/>
      <c r="SDJ32" s="17"/>
      <c r="SDK32" s="17"/>
      <c r="SDL32" s="17"/>
      <c r="SDM32" s="17"/>
      <c r="SDN32" s="17"/>
      <c r="SDO32" s="17"/>
      <c r="SDP32" s="17"/>
      <c r="SDQ32" s="17"/>
      <c r="SDR32" s="17"/>
      <c r="SDS32" s="17"/>
      <c r="SDT32" s="17"/>
      <c r="SDU32" s="17"/>
      <c r="SDV32" s="17"/>
      <c r="SDW32" s="17"/>
      <c r="SDX32" s="17"/>
      <c r="SDY32" s="17"/>
      <c r="SDZ32" s="17"/>
      <c r="SEA32" s="17"/>
      <c r="SEB32" s="17"/>
      <c r="SEC32" s="17"/>
      <c r="SED32" s="17"/>
      <c r="SEE32" s="17"/>
      <c r="SEF32" s="17"/>
      <c r="SEG32" s="17"/>
      <c r="SEH32" s="17"/>
      <c r="SEI32" s="17"/>
      <c r="SEJ32" s="17"/>
      <c r="SEK32" s="17"/>
      <c r="SEL32" s="17"/>
      <c r="SEM32" s="17"/>
      <c r="SEN32" s="17"/>
      <c r="SEO32" s="17"/>
      <c r="SEP32" s="17"/>
      <c r="SEQ32" s="17"/>
      <c r="SER32" s="17"/>
      <c r="SES32" s="17"/>
      <c r="SET32" s="17"/>
      <c r="SEU32" s="17"/>
      <c r="SEV32" s="17"/>
      <c r="SEW32" s="17"/>
      <c r="SEX32" s="17"/>
      <c r="SEY32" s="17"/>
      <c r="SEZ32" s="17"/>
      <c r="SFA32" s="17"/>
      <c r="SFB32" s="17"/>
      <c r="SFC32" s="17"/>
      <c r="SFD32" s="17"/>
      <c r="SFE32" s="17"/>
      <c r="SFF32" s="17"/>
      <c r="SFG32" s="17"/>
      <c r="SFH32" s="17"/>
      <c r="SFI32" s="17"/>
      <c r="SFJ32" s="17"/>
      <c r="SFK32" s="17"/>
      <c r="SFL32" s="17"/>
      <c r="SFM32" s="17"/>
      <c r="SFN32" s="17"/>
      <c r="SFO32" s="17"/>
      <c r="SFP32" s="17"/>
      <c r="SFQ32" s="17"/>
      <c r="SFR32" s="17"/>
      <c r="SFS32" s="17"/>
      <c r="SFT32" s="17"/>
      <c r="SFU32" s="17"/>
      <c r="SFV32" s="17"/>
      <c r="SFW32" s="17"/>
      <c r="SFX32" s="17"/>
      <c r="SFY32" s="17"/>
      <c r="SFZ32" s="17"/>
      <c r="SGA32" s="17"/>
      <c r="SGB32" s="17"/>
      <c r="SGC32" s="17"/>
      <c r="SGD32" s="17"/>
      <c r="SGE32" s="17"/>
      <c r="SGF32" s="17"/>
      <c r="SGG32" s="17"/>
      <c r="SGH32" s="17"/>
      <c r="SGI32" s="17"/>
      <c r="SGJ32" s="17"/>
      <c r="SGK32" s="17"/>
      <c r="SGL32" s="17"/>
      <c r="SGM32" s="17"/>
      <c r="SGN32" s="17"/>
      <c r="SGO32" s="17"/>
      <c r="SGP32" s="17"/>
      <c r="SGQ32" s="17"/>
      <c r="SGR32" s="17"/>
      <c r="SGS32" s="17"/>
      <c r="SGT32" s="17"/>
      <c r="SGU32" s="17"/>
      <c r="SGV32" s="17"/>
      <c r="SGW32" s="17"/>
      <c r="SGX32" s="17"/>
      <c r="SGY32" s="17"/>
      <c r="SGZ32" s="17"/>
      <c r="SHA32" s="17"/>
      <c r="SHB32" s="17"/>
      <c r="SHC32" s="17"/>
      <c r="SHD32" s="17"/>
      <c r="SHE32" s="17"/>
      <c r="SHF32" s="17"/>
      <c r="SHG32" s="17"/>
      <c r="SHH32" s="17"/>
      <c r="SHI32" s="17"/>
      <c r="SHJ32" s="17"/>
      <c r="SHK32" s="17"/>
      <c r="SHL32" s="17"/>
      <c r="SHM32" s="17"/>
      <c r="SHN32" s="17"/>
      <c r="SHO32" s="17"/>
      <c r="SHP32" s="17"/>
      <c r="SHQ32" s="17"/>
      <c r="SHR32" s="17"/>
      <c r="SHS32" s="17"/>
      <c r="SHT32" s="17"/>
      <c r="SHU32" s="17"/>
      <c r="SHV32" s="17"/>
      <c r="SHW32" s="17"/>
      <c r="SHX32" s="17"/>
      <c r="SHY32" s="17"/>
      <c r="SHZ32" s="17"/>
      <c r="SIA32" s="17"/>
      <c r="SIB32" s="17"/>
      <c r="SIC32" s="17"/>
      <c r="SID32" s="17"/>
      <c r="SIE32" s="17"/>
      <c r="SIF32" s="17"/>
      <c r="SIG32" s="17"/>
      <c r="SIH32" s="17"/>
      <c r="SII32" s="17"/>
      <c r="SIJ32" s="17"/>
      <c r="SIK32" s="17"/>
      <c r="SIL32" s="17"/>
      <c r="SIM32" s="17"/>
      <c r="SIN32" s="17"/>
      <c r="SIO32" s="17"/>
      <c r="SIP32" s="17"/>
      <c r="SIQ32" s="17"/>
      <c r="SIR32" s="17"/>
      <c r="SIS32" s="17"/>
      <c r="SIT32" s="17"/>
      <c r="SIU32" s="17"/>
      <c r="SIV32" s="17"/>
      <c r="SIW32" s="17"/>
      <c r="SIX32" s="17"/>
      <c r="SIY32" s="17"/>
      <c r="SIZ32" s="17"/>
      <c r="SJA32" s="17"/>
      <c r="SJB32" s="17"/>
      <c r="SJC32" s="17"/>
      <c r="SJD32" s="17"/>
      <c r="SJE32" s="17"/>
      <c r="SJF32" s="17"/>
      <c r="SJG32" s="17"/>
      <c r="SJH32" s="17"/>
      <c r="SJI32" s="17"/>
      <c r="SJJ32" s="17"/>
      <c r="SJK32" s="17"/>
      <c r="SJL32" s="17"/>
      <c r="SJM32" s="17"/>
      <c r="SJN32" s="17"/>
      <c r="SJO32" s="17"/>
      <c r="SJP32" s="17"/>
      <c r="SJQ32" s="17"/>
      <c r="SJR32" s="17"/>
      <c r="SJS32" s="17"/>
      <c r="SJT32" s="17"/>
      <c r="SJU32" s="17"/>
      <c r="SJV32" s="17"/>
      <c r="SJW32" s="17"/>
      <c r="SJX32" s="17"/>
      <c r="SJY32" s="17"/>
      <c r="SJZ32" s="17"/>
      <c r="SKA32" s="17"/>
      <c r="SKB32" s="17"/>
      <c r="SKC32" s="17"/>
      <c r="SKD32" s="17"/>
      <c r="SKE32" s="17"/>
      <c r="SKF32" s="17"/>
      <c r="SKG32" s="17"/>
      <c r="SKH32" s="17"/>
      <c r="SKI32" s="17"/>
      <c r="SKJ32" s="17"/>
      <c r="SKK32" s="17"/>
      <c r="SKL32" s="17"/>
      <c r="SKM32" s="17"/>
      <c r="SKN32" s="17"/>
      <c r="SKO32" s="17"/>
      <c r="SKP32" s="17"/>
      <c r="SKQ32" s="17"/>
      <c r="SKR32" s="17"/>
      <c r="SKS32" s="17"/>
      <c r="SKT32" s="17"/>
      <c r="SKU32" s="17"/>
      <c r="SKV32" s="17"/>
      <c r="SKW32" s="17"/>
      <c r="SKX32" s="17"/>
      <c r="SKY32" s="17"/>
      <c r="SKZ32" s="17"/>
      <c r="SLA32" s="17"/>
      <c r="SLB32" s="17"/>
      <c r="SLC32" s="17"/>
      <c r="SLD32" s="17"/>
      <c r="SLE32" s="17"/>
      <c r="SLF32" s="17"/>
      <c r="SLG32" s="17"/>
      <c r="SLH32" s="17"/>
      <c r="SLI32" s="17"/>
      <c r="SLJ32" s="17"/>
      <c r="SLK32" s="17"/>
      <c r="SLL32" s="17"/>
      <c r="SLM32" s="17"/>
      <c r="SLN32" s="17"/>
      <c r="SLO32" s="17"/>
      <c r="SLP32" s="17"/>
      <c r="SLQ32" s="17"/>
      <c r="SLR32" s="17"/>
      <c r="SLS32" s="17"/>
      <c r="SLT32" s="17"/>
      <c r="SLU32" s="17"/>
      <c r="SLV32" s="17"/>
      <c r="SLW32" s="17"/>
      <c r="SLX32" s="17"/>
      <c r="SLY32" s="17"/>
      <c r="SLZ32" s="17"/>
      <c r="SMA32" s="17"/>
      <c r="SMB32" s="17"/>
      <c r="SMC32" s="17"/>
      <c r="SMD32" s="17"/>
      <c r="SME32" s="17"/>
      <c r="SMF32" s="17"/>
      <c r="SMG32" s="17"/>
      <c r="SMH32" s="17"/>
      <c r="SMI32" s="17"/>
      <c r="SMJ32" s="17"/>
      <c r="SMK32" s="17"/>
      <c r="SML32" s="17"/>
      <c r="SMM32" s="17"/>
      <c r="SMN32" s="17"/>
      <c r="SMO32" s="17"/>
      <c r="SMP32" s="17"/>
      <c r="SMQ32" s="17"/>
      <c r="SMR32" s="17"/>
      <c r="SMS32" s="17"/>
      <c r="SMT32" s="17"/>
      <c r="SMU32" s="17"/>
      <c r="SMV32" s="17"/>
      <c r="SMW32" s="17"/>
      <c r="SMX32" s="17"/>
      <c r="SMY32" s="17"/>
      <c r="SMZ32" s="17"/>
      <c r="SNA32" s="17"/>
      <c r="SNB32" s="17"/>
      <c r="SNC32" s="17"/>
      <c r="SND32" s="17"/>
      <c r="SNE32" s="17"/>
      <c r="SNF32" s="17"/>
      <c r="SNG32" s="17"/>
      <c r="SNH32" s="17"/>
      <c r="SNI32" s="17"/>
      <c r="SNJ32" s="17"/>
      <c r="SNK32" s="17"/>
      <c r="SNL32" s="17"/>
      <c r="SNM32" s="17"/>
      <c r="SNN32" s="17"/>
      <c r="SNO32" s="17"/>
      <c r="SNP32" s="17"/>
      <c r="SNQ32" s="17"/>
      <c r="SNR32" s="17"/>
      <c r="SNS32" s="17"/>
      <c r="SNT32" s="17"/>
      <c r="SNU32" s="17"/>
      <c r="SNV32" s="17"/>
      <c r="SNW32" s="17"/>
      <c r="SNX32" s="17"/>
      <c r="SNY32" s="17"/>
      <c r="SNZ32" s="17"/>
      <c r="SOA32" s="17"/>
      <c r="SOB32" s="17"/>
      <c r="SOC32" s="17"/>
      <c r="SOD32" s="17"/>
      <c r="SOE32" s="17"/>
      <c r="SOF32" s="17"/>
      <c r="SOG32" s="17"/>
      <c r="SOH32" s="17"/>
      <c r="SOI32" s="17"/>
      <c r="SOJ32" s="17"/>
      <c r="SOK32" s="17"/>
      <c r="SOL32" s="17"/>
      <c r="SOM32" s="17"/>
      <c r="SON32" s="17"/>
      <c r="SOO32" s="17"/>
      <c r="SOP32" s="17"/>
      <c r="SOQ32" s="17"/>
      <c r="SOR32" s="17"/>
      <c r="SOS32" s="17"/>
      <c r="SOT32" s="17"/>
      <c r="SOU32" s="17"/>
      <c r="SOV32" s="17"/>
      <c r="SOW32" s="17"/>
      <c r="SOX32" s="17"/>
      <c r="SOY32" s="17"/>
      <c r="SOZ32" s="17"/>
      <c r="SPA32" s="17"/>
      <c r="SPB32" s="17"/>
      <c r="SPC32" s="17"/>
      <c r="SPD32" s="17"/>
      <c r="SPE32" s="17"/>
      <c r="SPF32" s="17"/>
      <c r="SPG32" s="17"/>
      <c r="SPH32" s="17"/>
      <c r="SPI32" s="17"/>
      <c r="SPJ32" s="17"/>
      <c r="SPK32" s="17"/>
      <c r="SPL32" s="17"/>
      <c r="SPM32" s="17"/>
      <c r="SPN32" s="17"/>
      <c r="SPO32" s="17"/>
      <c r="SPP32" s="17"/>
      <c r="SPQ32" s="17"/>
      <c r="SPR32" s="17"/>
      <c r="SPS32" s="17"/>
      <c r="SPT32" s="17"/>
      <c r="SPU32" s="17"/>
      <c r="SPV32" s="17"/>
      <c r="SPW32" s="17"/>
      <c r="SPX32" s="17"/>
      <c r="SPY32" s="17"/>
      <c r="SPZ32" s="17"/>
      <c r="SQA32" s="17"/>
      <c r="SQB32" s="17"/>
      <c r="SQC32" s="17"/>
      <c r="SQD32" s="17"/>
      <c r="SQE32" s="17"/>
      <c r="SQF32" s="17"/>
      <c r="SQG32" s="17"/>
      <c r="SQH32" s="17"/>
      <c r="SQI32" s="17"/>
      <c r="SQJ32" s="17"/>
      <c r="SQK32" s="17"/>
      <c r="SQL32" s="17"/>
      <c r="SQM32" s="17"/>
      <c r="SQN32" s="17"/>
      <c r="SQO32" s="17"/>
      <c r="SQP32" s="17"/>
      <c r="SQQ32" s="17"/>
      <c r="SQR32" s="17"/>
      <c r="SQS32" s="17"/>
      <c r="SQT32" s="17"/>
      <c r="SQU32" s="17"/>
      <c r="SQV32" s="17"/>
      <c r="SQW32" s="17"/>
      <c r="SQX32" s="17"/>
      <c r="SQY32" s="17"/>
      <c r="SQZ32" s="17"/>
      <c r="SRA32" s="17"/>
      <c r="SRB32" s="17"/>
      <c r="SRC32" s="17"/>
      <c r="SRD32" s="17"/>
      <c r="SRE32" s="17"/>
      <c r="SRF32" s="17"/>
      <c r="SRG32" s="17"/>
      <c r="SRH32" s="17"/>
      <c r="SRI32" s="17"/>
      <c r="SRJ32" s="17"/>
      <c r="SRK32" s="17"/>
      <c r="SRL32" s="17"/>
      <c r="SRM32" s="17"/>
      <c r="SRN32" s="17"/>
      <c r="SRO32" s="17"/>
      <c r="SRP32" s="17"/>
      <c r="SRQ32" s="17"/>
      <c r="SRR32" s="17"/>
      <c r="SRS32" s="17"/>
      <c r="SRT32" s="17"/>
      <c r="SRU32" s="17"/>
      <c r="SRV32" s="17"/>
      <c r="SRW32" s="17"/>
      <c r="SRX32" s="17"/>
      <c r="SRY32" s="17"/>
      <c r="SRZ32" s="17"/>
      <c r="SSA32" s="17"/>
      <c r="SSB32" s="17"/>
      <c r="SSC32" s="17"/>
      <c r="SSD32" s="17"/>
      <c r="SSE32" s="17"/>
      <c r="SSF32" s="17"/>
      <c r="SSG32" s="17"/>
      <c r="SSH32" s="17"/>
      <c r="SSI32" s="17"/>
      <c r="SSJ32" s="17"/>
      <c r="SSK32" s="17"/>
      <c r="SSL32" s="17"/>
      <c r="SSM32" s="17"/>
      <c r="SSN32" s="17"/>
      <c r="SSO32" s="17"/>
      <c r="SSP32" s="17"/>
      <c r="SSQ32" s="17"/>
      <c r="SSR32" s="17"/>
      <c r="SSS32" s="17"/>
      <c r="SST32" s="17"/>
      <c r="SSU32" s="17"/>
      <c r="SSV32" s="17"/>
      <c r="SSW32" s="17"/>
      <c r="SSX32" s="17"/>
      <c r="SSY32" s="17"/>
      <c r="SSZ32" s="17"/>
      <c r="STA32" s="17"/>
      <c r="STB32" s="17"/>
      <c r="STC32" s="17"/>
      <c r="STD32" s="17"/>
      <c r="STE32" s="17"/>
      <c r="STF32" s="17"/>
      <c r="STG32" s="17"/>
      <c r="STH32" s="17"/>
      <c r="STI32" s="17"/>
      <c r="STJ32" s="17"/>
      <c r="STK32" s="17"/>
      <c r="STL32" s="17"/>
      <c r="STM32" s="17"/>
      <c r="STN32" s="17"/>
      <c r="STO32" s="17"/>
      <c r="STP32" s="17"/>
      <c r="STQ32" s="17"/>
      <c r="STR32" s="17"/>
      <c r="STS32" s="17"/>
      <c r="STT32" s="17"/>
      <c r="STU32" s="17"/>
      <c r="STV32" s="17"/>
      <c r="STW32" s="17"/>
      <c r="STX32" s="17"/>
      <c r="STY32" s="17"/>
      <c r="STZ32" s="17"/>
      <c r="SUA32" s="17"/>
      <c r="SUB32" s="17"/>
      <c r="SUC32" s="17"/>
      <c r="SUD32" s="17"/>
      <c r="SUE32" s="17"/>
      <c r="SUF32" s="17"/>
      <c r="SUG32" s="17"/>
      <c r="SUH32" s="17"/>
      <c r="SUI32" s="17"/>
      <c r="SUJ32" s="17"/>
      <c r="SUK32" s="17"/>
      <c r="SUL32" s="17"/>
      <c r="SUM32" s="17"/>
      <c r="SUN32" s="17"/>
      <c r="SUO32" s="17"/>
      <c r="SUP32" s="17"/>
      <c r="SUQ32" s="17"/>
      <c r="SUR32" s="17"/>
      <c r="SUS32" s="17"/>
      <c r="SUT32" s="17"/>
      <c r="SUU32" s="17"/>
      <c r="SUV32" s="17"/>
      <c r="SUW32" s="17"/>
      <c r="SUX32" s="17"/>
      <c r="SUY32" s="17"/>
      <c r="SUZ32" s="17"/>
      <c r="SVA32" s="17"/>
      <c r="SVB32" s="17"/>
      <c r="SVC32" s="17"/>
      <c r="SVD32" s="17"/>
      <c r="SVE32" s="17"/>
      <c r="SVF32" s="17"/>
      <c r="SVG32" s="17"/>
      <c r="SVH32" s="17"/>
      <c r="SVI32" s="17"/>
      <c r="SVJ32" s="17"/>
      <c r="SVK32" s="17"/>
      <c r="SVL32" s="17"/>
      <c r="SVM32" s="17"/>
      <c r="SVN32" s="17"/>
      <c r="SVO32" s="17"/>
      <c r="SVP32" s="17"/>
      <c r="SVQ32" s="17"/>
      <c r="SVR32" s="17"/>
      <c r="SVS32" s="17"/>
      <c r="SVT32" s="17"/>
      <c r="SVU32" s="17"/>
      <c r="SVV32" s="17"/>
      <c r="SVW32" s="17"/>
      <c r="SVX32" s="17"/>
      <c r="SVY32" s="17"/>
      <c r="SVZ32" s="17"/>
      <c r="SWA32" s="17"/>
      <c r="SWB32" s="17"/>
      <c r="SWC32" s="17"/>
      <c r="SWD32" s="17"/>
      <c r="SWE32" s="17"/>
      <c r="SWF32" s="17"/>
      <c r="SWG32" s="17"/>
      <c r="SWH32" s="17"/>
      <c r="SWI32" s="17"/>
      <c r="SWJ32" s="17"/>
      <c r="SWK32" s="17"/>
      <c r="SWL32" s="17"/>
      <c r="SWM32" s="17"/>
      <c r="SWN32" s="17"/>
      <c r="SWO32" s="17"/>
      <c r="SWP32" s="17"/>
      <c r="SWQ32" s="17"/>
      <c r="SWR32" s="17"/>
      <c r="SWS32" s="17"/>
      <c r="SWT32" s="17"/>
      <c r="SWU32" s="17"/>
      <c r="SWV32" s="17"/>
      <c r="SWW32" s="17"/>
      <c r="SWX32" s="17"/>
      <c r="SWY32" s="17"/>
      <c r="SWZ32" s="17"/>
      <c r="SXA32" s="17"/>
      <c r="SXB32" s="17"/>
      <c r="SXC32" s="17"/>
      <c r="SXD32" s="17"/>
      <c r="SXE32" s="17"/>
      <c r="SXF32" s="17"/>
      <c r="SXG32" s="17"/>
      <c r="SXH32" s="17"/>
      <c r="SXI32" s="17"/>
      <c r="SXJ32" s="17"/>
      <c r="SXK32" s="17"/>
      <c r="SXL32" s="17"/>
      <c r="SXM32" s="17"/>
      <c r="SXN32" s="17"/>
      <c r="SXO32" s="17"/>
      <c r="SXP32" s="17"/>
      <c r="SXQ32" s="17"/>
      <c r="SXR32" s="17"/>
      <c r="SXS32" s="17"/>
      <c r="SXT32" s="17"/>
      <c r="SXU32" s="17"/>
      <c r="SXV32" s="17"/>
      <c r="SXW32" s="17"/>
      <c r="SXX32" s="17"/>
      <c r="SXY32" s="17"/>
      <c r="SXZ32" s="17"/>
      <c r="SYA32" s="17"/>
      <c r="SYB32" s="17"/>
      <c r="SYC32" s="17"/>
      <c r="SYD32" s="17"/>
      <c r="SYE32" s="17"/>
      <c r="SYF32" s="17"/>
      <c r="SYG32" s="17"/>
      <c r="SYH32" s="17"/>
      <c r="SYI32" s="17"/>
      <c r="SYJ32" s="17"/>
      <c r="SYK32" s="17"/>
      <c r="SYL32" s="17"/>
      <c r="SYM32" s="17"/>
      <c r="SYN32" s="17"/>
      <c r="SYO32" s="17"/>
      <c r="SYP32" s="17"/>
      <c r="SYQ32" s="17"/>
      <c r="SYR32" s="17"/>
      <c r="SYS32" s="17"/>
      <c r="SYT32" s="17"/>
      <c r="SYU32" s="17"/>
      <c r="SYV32" s="17"/>
      <c r="SYW32" s="17"/>
      <c r="SYX32" s="17"/>
      <c r="SYY32" s="17"/>
      <c r="SYZ32" s="17"/>
      <c r="SZA32" s="17"/>
      <c r="SZB32" s="17"/>
      <c r="SZC32" s="17"/>
      <c r="SZD32" s="17"/>
      <c r="SZE32" s="17"/>
      <c r="SZF32" s="17"/>
      <c r="SZG32" s="17"/>
      <c r="SZH32" s="17"/>
      <c r="SZI32" s="17"/>
      <c r="SZJ32" s="17"/>
      <c r="SZK32" s="17"/>
      <c r="SZL32" s="17"/>
      <c r="SZM32" s="17"/>
      <c r="SZN32" s="17"/>
      <c r="SZO32" s="17"/>
      <c r="SZP32" s="17"/>
      <c r="SZQ32" s="17"/>
      <c r="SZR32" s="17"/>
      <c r="SZS32" s="17"/>
      <c r="SZT32" s="17"/>
      <c r="SZU32" s="17"/>
      <c r="SZV32" s="17"/>
      <c r="SZW32" s="17"/>
      <c r="SZX32" s="17"/>
      <c r="SZY32" s="17"/>
      <c r="SZZ32" s="17"/>
      <c r="TAA32" s="17"/>
      <c r="TAB32" s="17"/>
      <c r="TAC32" s="17"/>
      <c r="TAD32" s="17"/>
      <c r="TAE32" s="17"/>
      <c r="TAF32" s="17"/>
      <c r="TAG32" s="17"/>
      <c r="TAH32" s="17"/>
      <c r="TAI32" s="17"/>
      <c r="TAJ32" s="17"/>
      <c r="TAK32" s="17"/>
      <c r="TAL32" s="17"/>
      <c r="TAM32" s="17"/>
      <c r="TAN32" s="17"/>
      <c r="TAO32" s="17"/>
      <c r="TAP32" s="17"/>
      <c r="TAQ32" s="17"/>
      <c r="TAR32" s="17"/>
      <c r="TAS32" s="17"/>
      <c r="TAT32" s="17"/>
      <c r="TAU32" s="17"/>
      <c r="TAV32" s="17"/>
      <c r="TAW32" s="17"/>
      <c r="TAX32" s="17"/>
      <c r="TAY32" s="17"/>
      <c r="TAZ32" s="17"/>
      <c r="TBA32" s="17"/>
      <c r="TBB32" s="17"/>
      <c r="TBC32" s="17"/>
      <c r="TBD32" s="17"/>
      <c r="TBE32" s="17"/>
      <c r="TBF32" s="17"/>
      <c r="TBG32" s="17"/>
      <c r="TBH32" s="17"/>
      <c r="TBI32" s="17"/>
      <c r="TBJ32" s="17"/>
      <c r="TBK32" s="17"/>
      <c r="TBL32" s="17"/>
      <c r="TBM32" s="17"/>
      <c r="TBN32" s="17"/>
      <c r="TBO32" s="17"/>
      <c r="TBP32" s="17"/>
      <c r="TBQ32" s="17"/>
      <c r="TBR32" s="17"/>
      <c r="TBS32" s="17"/>
      <c r="TBT32" s="17"/>
      <c r="TBU32" s="17"/>
      <c r="TBV32" s="17"/>
      <c r="TBW32" s="17"/>
      <c r="TBX32" s="17"/>
      <c r="TBY32" s="17"/>
      <c r="TBZ32" s="17"/>
      <c r="TCA32" s="17"/>
      <c r="TCB32" s="17"/>
      <c r="TCC32" s="17"/>
      <c r="TCD32" s="17"/>
      <c r="TCE32" s="17"/>
      <c r="TCF32" s="17"/>
      <c r="TCG32" s="17"/>
      <c r="TCH32" s="17"/>
      <c r="TCI32" s="17"/>
      <c r="TCJ32" s="17"/>
      <c r="TCK32" s="17"/>
      <c r="TCL32" s="17"/>
      <c r="TCM32" s="17"/>
      <c r="TCN32" s="17"/>
      <c r="TCO32" s="17"/>
      <c r="TCP32" s="17"/>
      <c r="TCQ32" s="17"/>
      <c r="TCR32" s="17"/>
      <c r="TCS32" s="17"/>
      <c r="TCT32" s="17"/>
      <c r="TCU32" s="17"/>
      <c r="TCV32" s="17"/>
      <c r="TCW32" s="17"/>
      <c r="TCX32" s="17"/>
      <c r="TCY32" s="17"/>
      <c r="TCZ32" s="17"/>
      <c r="TDA32" s="17"/>
      <c r="TDB32" s="17"/>
      <c r="TDC32" s="17"/>
      <c r="TDD32" s="17"/>
      <c r="TDE32" s="17"/>
      <c r="TDF32" s="17"/>
      <c r="TDG32" s="17"/>
      <c r="TDH32" s="17"/>
      <c r="TDI32" s="17"/>
      <c r="TDJ32" s="17"/>
      <c r="TDK32" s="17"/>
      <c r="TDL32" s="17"/>
      <c r="TDM32" s="17"/>
      <c r="TDN32" s="17"/>
      <c r="TDO32" s="17"/>
      <c r="TDP32" s="17"/>
      <c r="TDQ32" s="17"/>
      <c r="TDR32" s="17"/>
      <c r="TDS32" s="17"/>
      <c r="TDT32" s="17"/>
      <c r="TDU32" s="17"/>
      <c r="TDV32" s="17"/>
      <c r="TDW32" s="17"/>
      <c r="TDX32" s="17"/>
      <c r="TDY32" s="17"/>
      <c r="TDZ32" s="17"/>
      <c r="TEA32" s="17"/>
      <c r="TEB32" s="17"/>
      <c r="TEC32" s="17"/>
      <c r="TED32" s="17"/>
      <c r="TEE32" s="17"/>
      <c r="TEF32" s="17"/>
      <c r="TEG32" s="17"/>
      <c r="TEH32" s="17"/>
      <c r="TEI32" s="17"/>
      <c r="TEJ32" s="17"/>
      <c r="TEK32" s="17"/>
      <c r="TEL32" s="17"/>
      <c r="TEM32" s="17"/>
      <c r="TEN32" s="17"/>
      <c r="TEO32" s="17"/>
      <c r="TEP32" s="17"/>
      <c r="TEQ32" s="17"/>
      <c r="TER32" s="17"/>
      <c r="TES32" s="17"/>
      <c r="TET32" s="17"/>
      <c r="TEU32" s="17"/>
      <c r="TEV32" s="17"/>
      <c r="TEW32" s="17"/>
      <c r="TEX32" s="17"/>
      <c r="TEY32" s="17"/>
      <c r="TEZ32" s="17"/>
      <c r="TFA32" s="17"/>
      <c r="TFB32" s="17"/>
      <c r="TFC32" s="17"/>
      <c r="TFD32" s="17"/>
      <c r="TFE32" s="17"/>
      <c r="TFF32" s="17"/>
      <c r="TFG32" s="17"/>
      <c r="TFH32" s="17"/>
      <c r="TFI32" s="17"/>
      <c r="TFJ32" s="17"/>
      <c r="TFK32" s="17"/>
      <c r="TFL32" s="17"/>
      <c r="TFM32" s="17"/>
      <c r="TFN32" s="17"/>
      <c r="TFO32" s="17"/>
      <c r="TFP32" s="17"/>
      <c r="TFQ32" s="17"/>
      <c r="TFR32" s="17"/>
      <c r="TFS32" s="17"/>
      <c r="TFT32" s="17"/>
      <c r="TFU32" s="17"/>
      <c r="TFV32" s="17"/>
      <c r="TFW32" s="17"/>
      <c r="TFX32" s="17"/>
      <c r="TFY32" s="17"/>
      <c r="TFZ32" s="17"/>
      <c r="TGA32" s="17"/>
      <c r="TGB32" s="17"/>
      <c r="TGC32" s="17"/>
      <c r="TGD32" s="17"/>
      <c r="TGE32" s="17"/>
      <c r="TGF32" s="17"/>
      <c r="TGG32" s="17"/>
      <c r="TGH32" s="17"/>
      <c r="TGI32" s="17"/>
      <c r="TGJ32" s="17"/>
      <c r="TGK32" s="17"/>
      <c r="TGL32" s="17"/>
      <c r="TGM32" s="17"/>
      <c r="TGN32" s="17"/>
      <c r="TGO32" s="17"/>
      <c r="TGP32" s="17"/>
      <c r="TGQ32" s="17"/>
      <c r="TGR32" s="17"/>
      <c r="TGS32" s="17"/>
      <c r="TGT32" s="17"/>
      <c r="TGU32" s="17"/>
      <c r="TGV32" s="17"/>
      <c r="TGW32" s="17"/>
      <c r="TGX32" s="17"/>
      <c r="TGY32" s="17"/>
      <c r="TGZ32" s="17"/>
      <c r="THA32" s="17"/>
      <c r="THB32" s="17"/>
      <c r="THC32" s="17"/>
      <c r="THD32" s="17"/>
      <c r="THE32" s="17"/>
      <c r="THF32" s="17"/>
      <c r="THG32" s="17"/>
      <c r="THH32" s="17"/>
      <c r="THI32" s="17"/>
      <c r="THJ32" s="17"/>
      <c r="THK32" s="17"/>
      <c r="THL32" s="17"/>
      <c r="THM32" s="17"/>
      <c r="THN32" s="17"/>
      <c r="THO32" s="17"/>
      <c r="THP32" s="17"/>
      <c r="THQ32" s="17"/>
      <c r="THR32" s="17"/>
      <c r="THS32" s="17"/>
      <c r="THT32" s="17"/>
      <c r="THU32" s="17"/>
      <c r="THV32" s="17"/>
      <c r="THW32" s="17"/>
      <c r="THX32" s="17"/>
      <c r="THY32" s="17"/>
      <c r="THZ32" s="17"/>
      <c r="TIA32" s="17"/>
      <c r="TIB32" s="17"/>
      <c r="TIC32" s="17"/>
      <c r="TID32" s="17"/>
      <c r="TIE32" s="17"/>
      <c r="TIF32" s="17"/>
      <c r="TIG32" s="17"/>
      <c r="TIH32" s="17"/>
      <c r="TII32" s="17"/>
      <c r="TIJ32" s="17"/>
      <c r="TIK32" s="17"/>
      <c r="TIL32" s="17"/>
      <c r="TIM32" s="17"/>
      <c r="TIN32" s="17"/>
      <c r="TIO32" s="17"/>
      <c r="TIP32" s="17"/>
      <c r="TIQ32" s="17"/>
      <c r="TIR32" s="17"/>
      <c r="TIS32" s="17"/>
      <c r="TIT32" s="17"/>
      <c r="TIU32" s="17"/>
      <c r="TIV32" s="17"/>
      <c r="TIW32" s="17"/>
      <c r="TIX32" s="17"/>
      <c r="TIY32" s="17"/>
      <c r="TIZ32" s="17"/>
      <c r="TJA32" s="17"/>
      <c r="TJB32" s="17"/>
      <c r="TJC32" s="17"/>
      <c r="TJD32" s="17"/>
      <c r="TJE32" s="17"/>
      <c r="TJF32" s="17"/>
      <c r="TJG32" s="17"/>
      <c r="TJH32" s="17"/>
      <c r="TJI32" s="17"/>
      <c r="TJJ32" s="17"/>
      <c r="TJK32" s="17"/>
      <c r="TJL32" s="17"/>
      <c r="TJM32" s="17"/>
      <c r="TJN32" s="17"/>
      <c r="TJO32" s="17"/>
      <c r="TJP32" s="17"/>
      <c r="TJQ32" s="17"/>
      <c r="TJR32" s="17"/>
      <c r="TJS32" s="17"/>
      <c r="TJT32" s="17"/>
      <c r="TJU32" s="17"/>
      <c r="TJV32" s="17"/>
      <c r="TJW32" s="17"/>
      <c r="TJX32" s="17"/>
      <c r="TJY32" s="17"/>
      <c r="TJZ32" s="17"/>
      <c r="TKA32" s="17"/>
      <c r="TKB32" s="17"/>
      <c r="TKC32" s="17"/>
      <c r="TKD32" s="17"/>
      <c r="TKE32" s="17"/>
      <c r="TKF32" s="17"/>
      <c r="TKG32" s="17"/>
      <c r="TKH32" s="17"/>
      <c r="TKI32" s="17"/>
      <c r="TKJ32" s="17"/>
      <c r="TKK32" s="17"/>
      <c r="TKL32" s="17"/>
      <c r="TKM32" s="17"/>
      <c r="TKN32" s="17"/>
      <c r="TKO32" s="17"/>
      <c r="TKP32" s="17"/>
      <c r="TKQ32" s="17"/>
      <c r="TKR32" s="17"/>
      <c r="TKS32" s="17"/>
      <c r="TKT32" s="17"/>
      <c r="TKU32" s="17"/>
      <c r="TKV32" s="17"/>
      <c r="TKW32" s="17"/>
      <c r="TKX32" s="17"/>
      <c r="TKY32" s="17"/>
      <c r="TKZ32" s="17"/>
      <c r="TLA32" s="17"/>
      <c r="TLB32" s="17"/>
      <c r="TLC32" s="17"/>
      <c r="TLD32" s="17"/>
      <c r="TLE32" s="17"/>
      <c r="TLF32" s="17"/>
      <c r="TLG32" s="17"/>
      <c r="TLH32" s="17"/>
      <c r="TLI32" s="17"/>
      <c r="TLJ32" s="17"/>
      <c r="TLK32" s="17"/>
      <c r="TLL32" s="17"/>
      <c r="TLM32" s="17"/>
      <c r="TLN32" s="17"/>
      <c r="TLO32" s="17"/>
      <c r="TLP32" s="17"/>
      <c r="TLQ32" s="17"/>
      <c r="TLR32" s="17"/>
      <c r="TLS32" s="17"/>
      <c r="TLT32" s="17"/>
      <c r="TLU32" s="17"/>
      <c r="TLV32" s="17"/>
      <c r="TLW32" s="17"/>
      <c r="TLX32" s="17"/>
      <c r="TLY32" s="17"/>
      <c r="TLZ32" s="17"/>
      <c r="TMA32" s="17"/>
      <c r="TMB32" s="17"/>
      <c r="TMC32" s="17"/>
      <c r="TMD32" s="17"/>
      <c r="TME32" s="17"/>
      <c r="TMF32" s="17"/>
      <c r="TMG32" s="17"/>
      <c r="TMH32" s="17"/>
      <c r="TMI32" s="17"/>
      <c r="TMJ32" s="17"/>
      <c r="TMK32" s="17"/>
      <c r="TML32" s="17"/>
      <c r="TMM32" s="17"/>
      <c r="TMN32" s="17"/>
      <c r="TMO32" s="17"/>
      <c r="TMP32" s="17"/>
      <c r="TMQ32" s="17"/>
      <c r="TMR32" s="17"/>
      <c r="TMS32" s="17"/>
      <c r="TMT32" s="17"/>
      <c r="TMU32" s="17"/>
      <c r="TMV32" s="17"/>
      <c r="TMW32" s="17"/>
      <c r="TMX32" s="17"/>
      <c r="TMY32" s="17"/>
      <c r="TMZ32" s="17"/>
      <c r="TNA32" s="17"/>
      <c r="TNB32" s="17"/>
      <c r="TNC32" s="17"/>
      <c r="TND32" s="17"/>
      <c r="TNE32" s="17"/>
      <c r="TNF32" s="17"/>
      <c r="TNG32" s="17"/>
      <c r="TNH32" s="17"/>
      <c r="TNI32" s="17"/>
      <c r="TNJ32" s="17"/>
      <c r="TNK32" s="17"/>
      <c r="TNL32" s="17"/>
      <c r="TNM32" s="17"/>
      <c r="TNN32" s="17"/>
      <c r="TNO32" s="17"/>
      <c r="TNP32" s="17"/>
      <c r="TNQ32" s="17"/>
      <c r="TNR32" s="17"/>
      <c r="TNS32" s="17"/>
      <c r="TNT32" s="17"/>
      <c r="TNU32" s="17"/>
      <c r="TNV32" s="17"/>
      <c r="TNW32" s="17"/>
      <c r="TNX32" s="17"/>
      <c r="TNY32" s="17"/>
      <c r="TNZ32" s="17"/>
      <c r="TOA32" s="17"/>
      <c r="TOB32" s="17"/>
      <c r="TOC32" s="17"/>
      <c r="TOD32" s="17"/>
      <c r="TOE32" s="17"/>
      <c r="TOF32" s="17"/>
      <c r="TOG32" s="17"/>
      <c r="TOH32" s="17"/>
      <c r="TOI32" s="17"/>
      <c r="TOJ32" s="17"/>
      <c r="TOK32" s="17"/>
      <c r="TOL32" s="17"/>
      <c r="TOM32" s="17"/>
      <c r="TON32" s="17"/>
      <c r="TOO32" s="17"/>
      <c r="TOP32" s="17"/>
      <c r="TOQ32" s="17"/>
      <c r="TOR32" s="17"/>
      <c r="TOS32" s="17"/>
      <c r="TOT32" s="17"/>
      <c r="TOU32" s="17"/>
      <c r="TOV32" s="17"/>
      <c r="TOW32" s="17"/>
      <c r="TOX32" s="17"/>
      <c r="TOY32" s="17"/>
      <c r="TOZ32" s="17"/>
      <c r="TPA32" s="17"/>
      <c r="TPB32" s="17"/>
      <c r="TPC32" s="17"/>
      <c r="TPD32" s="17"/>
      <c r="TPE32" s="17"/>
      <c r="TPF32" s="17"/>
      <c r="TPG32" s="17"/>
      <c r="TPH32" s="17"/>
      <c r="TPI32" s="17"/>
      <c r="TPJ32" s="17"/>
      <c r="TPK32" s="17"/>
      <c r="TPL32" s="17"/>
      <c r="TPM32" s="17"/>
      <c r="TPN32" s="17"/>
      <c r="TPO32" s="17"/>
      <c r="TPP32" s="17"/>
      <c r="TPQ32" s="17"/>
      <c r="TPR32" s="17"/>
      <c r="TPS32" s="17"/>
      <c r="TPT32" s="17"/>
      <c r="TPU32" s="17"/>
      <c r="TPV32" s="17"/>
      <c r="TPW32" s="17"/>
      <c r="TPX32" s="17"/>
      <c r="TPY32" s="17"/>
      <c r="TPZ32" s="17"/>
      <c r="TQA32" s="17"/>
      <c r="TQB32" s="17"/>
      <c r="TQC32" s="17"/>
      <c r="TQD32" s="17"/>
      <c r="TQE32" s="17"/>
      <c r="TQF32" s="17"/>
      <c r="TQG32" s="17"/>
      <c r="TQH32" s="17"/>
      <c r="TQI32" s="17"/>
      <c r="TQJ32" s="17"/>
      <c r="TQK32" s="17"/>
      <c r="TQL32" s="17"/>
      <c r="TQM32" s="17"/>
      <c r="TQN32" s="17"/>
      <c r="TQO32" s="17"/>
      <c r="TQP32" s="17"/>
      <c r="TQQ32" s="17"/>
      <c r="TQR32" s="17"/>
      <c r="TQS32" s="17"/>
      <c r="TQT32" s="17"/>
      <c r="TQU32" s="17"/>
      <c r="TQV32" s="17"/>
      <c r="TQW32" s="17"/>
      <c r="TQX32" s="17"/>
      <c r="TQY32" s="17"/>
      <c r="TQZ32" s="17"/>
      <c r="TRA32" s="17"/>
      <c r="TRB32" s="17"/>
      <c r="TRC32" s="17"/>
      <c r="TRD32" s="17"/>
      <c r="TRE32" s="17"/>
      <c r="TRF32" s="17"/>
      <c r="TRG32" s="17"/>
      <c r="TRH32" s="17"/>
      <c r="TRI32" s="17"/>
      <c r="TRJ32" s="17"/>
      <c r="TRK32" s="17"/>
      <c r="TRL32" s="17"/>
      <c r="TRM32" s="17"/>
      <c r="TRN32" s="17"/>
      <c r="TRO32" s="17"/>
      <c r="TRP32" s="17"/>
      <c r="TRQ32" s="17"/>
      <c r="TRR32" s="17"/>
      <c r="TRS32" s="17"/>
      <c r="TRT32" s="17"/>
      <c r="TRU32" s="17"/>
      <c r="TRV32" s="17"/>
      <c r="TRW32" s="17"/>
      <c r="TRX32" s="17"/>
      <c r="TRY32" s="17"/>
      <c r="TRZ32" s="17"/>
      <c r="TSA32" s="17"/>
      <c r="TSB32" s="17"/>
      <c r="TSC32" s="17"/>
      <c r="TSD32" s="17"/>
      <c r="TSE32" s="17"/>
      <c r="TSF32" s="17"/>
      <c r="TSG32" s="17"/>
      <c r="TSH32" s="17"/>
      <c r="TSI32" s="17"/>
      <c r="TSJ32" s="17"/>
      <c r="TSK32" s="17"/>
      <c r="TSL32" s="17"/>
      <c r="TSM32" s="17"/>
      <c r="TSN32" s="17"/>
      <c r="TSO32" s="17"/>
      <c r="TSP32" s="17"/>
      <c r="TSQ32" s="17"/>
      <c r="TSR32" s="17"/>
      <c r="TSS32" s="17"/>
      <c r="TST32" s="17"/>
      <c r="TSU32" s="17"/>
      <c r="TSV32" s="17"/>
      <c r="TSW32" s="17"/>
      <c r="TSX32" s="17"/>
      <c r="TSY32" s="17"/>
      <c r="TSZ32" s="17"/>
      <c r="TTA32" s="17"/>
      <c r="TTB32" s="17"/>
      <c r="TTC32" s="17"/>
      <c r="TTD32" s="17"/>
      <c r="TTE32" s="17"/>
      <c r="TTF32" s="17"/>
      <c r="TTG32" s="17"/>
      <c r="TTH32" s="17"/>
      <c r="TTI32" s="17"/>
      <c r="TTJ32" s="17"/>
      <c r="TTK32" s="17"/>
      <c r="TTL32" s="17"/>
      <c r="TTM32" s="17"/>
      <c r="TTN32" s="17"/>
      <c r="TTO32" s="17"/>
      <c r="TTP32" s="17"/>
      <c r="TTQ32" s="17"/>
      <c r="TTR32" s="17"/>
      <c r="TTS32" s="17"/>
      <c r="TTT32" s="17"/>
      <c r="TTU32" s="17"/>
      <c r="TTV32" s="17"/>
      <c r="TTW32" s="17"/>
      <c r="TTX32" s="17"/>
      <c r="TTY32" s="17"/>
      <c r="TTZ32" s="17"/>
      <c r="TUA32" s="17"/>
      <c r="TUB32" s="17"/>
      <c r="TUC32" s="17"/>
      <c r="TUD32" s="17"/>
      <c r="TUE32" s="17"/>
      <c r="TUF32" s="17"/>
      <c r="TUG32" s="17"/>
      <c r="TUH32" s="17"/>
      <c r="TUI32" s="17"/>
      <c r="TUJ32" s="17"/>
      <c r="TUK32" s="17"/>
      <c r="TUL32" s="17"/>
      <c r="TUM32" s="17"/>
      <c r="TUN32" s="17"/>
      <c r="TUO32" s="17"/>
      <c r="TUP32" s="17"/>
      <c r="TUQ32" s="17"/>
      <c r="TUR32" s="17"/>
      <c r="TUS32" s="17"/>
      <c r="TUT32" s="17"/>
      <c r="TUU32" s="17"/>
      <c r="TUV32" s="17"/>
      <c r="TUW32" s="17"/>
      <c r="TUX32" s="17"/>
      <c r="TUY32" s="17"/>
      <c r="TUZ32" s="17"/>
      <c r="TVA32" s="17"/>
      <c r="TVB32" s="17"/>
      <c r="TVC32" s="17"/>
      <c r="TVD32" s="17"/>
      <c r="TVE32" s="17"/>
      <c r="TVF32" s="17"/>
      <c r="TVG32" s="17"/>
      <c r="TVH32" s="17"/>
      <c r="TVI32" s="17"/>
      <c r="TVJ32" s="17"/>
      <c r="TVK32" s="17"/>
      <c r="TVL32" s="17"/>
      <c r="TVM32" s="17"/>
      <c r="TVN32" s="17"/>
      <c r="TVO32" s="17"/>
      <c r="TVP32" s="17"/>
      <c r="TVQ32" s="17"/>
      <c r="TVR32" s="17"/>
      <c r="TVS32" s="17"/>
      <c r="TVT32" s="17"/>
      <c r="TVU32" s="17"/>
      <c r="TVV32" s="17"/>
      <c r="TVW32" s="17"/>
      <c r="TVX32" s="17"/>
      <c r="TVY32" s="17"/>
      <c r="TVZ32" s="17"/>
      <c r="TWA32" s="17"/>
      <c r="TWB32" s="17"/>
      <c r="TWC32" s="17"/>
      <c r="TWD32" s="17"/>
      <c r="TWE32" s="17"/>
      <c r="TWF32" s="17"/>
      <c r="TWG32" s="17"/>
      <c r="TWH32" s="17"/>
      <c r="TWI32" s="17"/>
      <c r="TWJ32" s="17"/>
      <c r="TWK32" s="17"/>
      <c r="TWL32" s="17"/>
      <c r="TWM32" s="17"/>
      <c r="TWN32" s="17"/>
      <c r="TWO32" s="17"/>
      <c r="TWP32" s="17"/>
      <c r="TWQ32" s="17"/>
      <c r="TWR32" s="17"/>
      <c r="TWS32" s="17"/>
      <c r="TWT32" s="17"/>
      <c r="TWU32" s="17"/>
      <c r="TWV32" s="17"/>
      <c r="TWW32" s="17"/>
      <c r="TWX32" s="17"/>
      <c r="TWY32" s="17"/>
      <c r="TWZ32" s="17"/>
      <c r="TXA32" s="17"/>
      <c r="TXB32" s="17"/>
      <c r="TXC32" s="17"/>
      <c r="TXD32" s="17"/>
      <c r="TXE32" s="17"/>
      <c r="TXF32" s="17"/>
      <c r="TXG32" s="17"/>
      <c r="TXH32" s="17"/>
      <c r="TXI32" s="17"/>
      <c r="TXJ32" s="17"/>
      <c r="TXK32" s="17"/>
      <c r="TXL32" s="17"/>
      <c r="TXM32" s="17"/>
      <c r="TXN32" s="17"/>
      <c r="TXO32" s="17"/>
      <c r="TXP32" s="17"/>
      <c r="TXQ32" s="17"/>
      <c r="TXR32" s="17"/>
      <c r="TXS32" s="17"/>
      <c r="TXT32" s="17"/>
      <c r="TXU32" s="17"/>
      <c r="TXV32" s="17"/>
      <c r="TXW32" s="17"/>
      <c r="TXX32" s="17"/>
      <c r="TXY32" s="17"/>
      <c r="TXZ32" s="17"/>
      <c r="TYA32" s="17"/>
      <c r="TYB32" s="17"/>
      <c r="TYC32" s="17"/>
      <c r="TYD32" s="17"/>
      <c r="TYE32" s="17"/>
      <c r="TYF32" s="17"/>
      <c r="TYG32" s="17"/>
      <c r="TYH32" s="17"/>
      <c r="TYI32" s="17"/>
      <c r="TYJ32" s="17"/>
      <c r="TYK32" s="17"/>
      <c r="TYL32" s="17"/>
      <c r="TYM32" s="17"/>
      <c r="TYN32" s="17"/>
      <c r="TYO32" s="17"/>
      <c r="TYP32" s="17"/>
      <c r="TYQ32" s="17"/>
      <c r="TYR32" s="17"/>
      <c r="TYS32" s="17"/>
      <c r="TYT32" s="17"/>
      <c r="TYU32" s="17"/>
      <c r="TYV32" s="17"/>
      <c r="TYW32" s="17"/>
      <c r="TYX32" s="17"/>
      <c r="TYY32" s="17"/>
      <c r="TYZ32" s="17"/>
      <c r="TZA32" s="17"/>
      <c r="TZB32" s="17"/>
      <c r="TZC32" s="17"/>
      <c r="TZD32" s="17"/>
      <c r="TZE32" s="17"/>
      <c r="TZF32" s="17"/>
      <c r="TZG32" s="17"/>
      <c r="TZH32" s="17"/>
      <c r="TZI32" s="17"/>
      <c r="TZJ32" s="17"/>
      <c r="TZK32" s="17"/>
      <c r="TZL32" s="17"/>
      <c r="TZM32" s="17"/>
      <c r="TZN32" s="17"/>
      <c r="TZO32" s="17"/>
      <c r="TZP32" s="17"/>
      <c r="TZQ32" s="17"/>
      <c r="TZR32" s="17"/>
      <c r="TZS32" s="17"/>
      <c r="TZT32" s="17"/>
      <c r="TZU32" s="17"/>
      <c r="TZV32" s="17"/>
      <c r="TZW32" s="17"/>
      <c r="TZX32" s="17"/>
      <c r="TZY32" s="17"/>
      <c r="TZZ32" s="17"/>
      <c r="UAA32" s="17"/>
      <c r="UAB32" s="17"/>
      <c r="UAC32" s="17"/>
      <c r="UAD32" s="17"/>
      <c r="UAE32" s="17"/>
      <c r="UAF32" s="17"/>
      <c r="UAG32" s="17"/>
      <c r="UAH32" s="17"/>
      <c r="UAI32" s="17"/>
      <c r="UAJ32" s="17"/>
      <c r="UAK32" s="17"/>
      <c r="UAL32" s="17"/>
      <c r="UAM32" s="17"/>
      <c r="UAN32" s="17"/>
      <c r="UAO32" s="17"/>
      <c r="UAP32" s="17"/>
      <c r="UAQ32" s="17"/>
      <c r="UAR32" s="17"/>
      <c r="UAS32" s="17"/>
      <c r="UAT32" s="17"/>
      <c r="UAU32" s="17"/>
      <c r="UAV32" s="17"/>
      <c r="UAW32" s="17"/>
      <c r="UAX32" s="17"/>
      <c r="UAY32" s="17"/>
      <c r="UAZ32" s="17"/>
      <c r="UBA32" s="17"/>
      <c r="UBB32" s="17"/>
      <c r="UBC32" s="17"/>
      <c r="UBD32" s="17"/>
      <c r="UBE32" s="17"/>
      <c r="UBF32" s="17"/>
      <c r="UBG32" s="17"/>
      <c r="UBH32" s="17"/>
      <c r="UBI32" s="17"/>
      <c r="UBJ32" s="17"/>
      <c r="UBK32" s="17"/>
      <c r="UBL32" s="17"/>
      <c r="UBM32" s="17"/>
      <c r="UBN32" s="17"/>
      <c r="UBO32" s="17"/>
      <c r="UBP32" s="17"/>
      <c r="UBQ32" s="17"/>
      <c r="UBR32" s="17"/>
      <c r="UBS32" s="17"/>
      <c r="UBT32" s="17"/>
      <c r="UBU32" s="17"/>
      <c r="UBV32" s="17"/>
      <c r="UBW32" s="17"/>
      <c r="UBX32" s="17"/>
      <c r="UBY32" s="17"/>
      <c r="UBZ32" s="17"/>
      <c r="UCA32" s="17"/>
      <c r="UCB32" s="17"/>
      <c r="UCC32" s="17"/>
      <c r="UCD32" s="17"/>
      <c r="UCE32" s="17"/>
      <c r="UCF32" s="17"/>
      <c r="UCG32" s="17"/>
      <c r="UCH32" s="17"/>
      <c r="UCI32" s="17"/>
      <c r="UCJ32" s="17"/>
      <c r="UCK32" s="17"/>
      <c r="UCL32" s="17"/>
      <c r="UCM32" s="17"/>
      <c r="UCN32" s="17"/>
      <c r="UCO32" s="17"/>
      <c r="UCP32" s="17"/>
      <c r="UCQ32" s="17"/>
      <c r="UCR32" s="17"/>
      <c r="UCS32" s="17"/>
      <c r="UCT32" s="17"/>
      <c r="UCU32" s="17"/>
      <c r="UCV32" s="17"/>
      <c r="UCW32" s="17"/>
      <c r="UCX32" s="17"/>
      <c r="UCY32" s="17"/>
      <c r="UCZ32" s="17"/>
      <c r="UDA32" s="17"/>
      <c r="UDB32" s="17"/>
      <c r="UDC32" s="17"/>
      <c r="UDD32" s="17"/>
      <c r="UDE32" s="17"/>
      <c r="UDF32" s="17"/>
      <c r="UDG32" s="17"/>
      <c r="UDH32" s="17"/>
      <c r="UDI32" s="17"/>
      <c r="UDJ32" s="17"/>
      <c r="UDK32" s="17"/>
      <c r="UDL32" s="17"/>
      <c r="UDM32" s="17"/>
      <c r="UDN32" s="17"/>
      <c r="UDO32" s="17"/>
      <c r="UDP32" s="17"/>
      <c r="UDQ32" s="17"/>
      <c r="UDR32" s="17"/>
      <c r="UDS32" s="17"/>
      <c r="UDT32" s="17"/>
      <c r="UDU32" s="17"/>
      <c r="UDV32" s="17"/>
      <c r="UDW32" s="17"/>
      <c r="UDX32" s="17"/>
      <c r="UDY32" s="17"/>
      <c r="UDZ32" s="17"/>
      <c r="UEA32" s="17"/>
      <c r="UEB32" s="17"/>
      <c r="UEC32" s="17"/>
      <c r="UED32" s="17"/>
      <c r="UEE32" s="17"/>
      <c r="UEF32" s="17"/>
      <c r="UEG32" s="17"/>
      <c r="UEH32" s="17"/>
      <c r="UEI32" s="17"/>
      <c r="UEJ32" s="17"/>
      <c r="UEK32" s="17"/>
      <c r="UEL32" s="17"/>
      <c r="UEM32" s="17"/>
      <c r="UEN32" s="17"/>
      <c r="UEO32" s="17"/>
      <c r="UEP32" s="17"/>
      <c r="UEQ32" s="17"/>
      <c r="UER32" s="17"/>
      <c r="UES32" s="17"/>
      <c r="UET32" s="17"/>
      <c r="UEU32" s="17"/>
      <c r="UEV32" s="17"/>
      <c r="UEW32" s="17"/>
      <c r="UEX32" s="17"/>
      <c r="UEY32" s="17"/>
      <c r="UEZ32" s="17"/>
      <c r="UFA32" s="17"/>
      <c r="UFB32" s="17"/>
      <c r="UFC32" s="17"/>
      <c r="UFD32" s="17"/>
      <c r="UFE32" s="17"/>
      <c r="UFF32" s="17"/>
      <c r="UFG32" s="17"/>
      <c r="UFH32" s="17"/>
      <c r="UFI32" s="17"/>
      <c r="UFJ32" s="17"/>
      <c r="UFK32" s="17"/>
      <c r="UFL32" s="17"/>
      <c r="UFM32" s="17"/>
      <c r="UFN32" s="17"/>
      <c r="UFO32" s="17"/>
      <c r="UFP32" s="17"/>
      <c r="UFQ32" s="17"/>
      <c r="UFR32" s="17"/>
      <c r="UFS32" s="17"/>
      <c r="UFT32" s="17"/>
      <c r="UFU32" s="17"/>
      <c r="UFV32" s="17"/>
      <c r="UFW32" s="17"/>
      <c r="UFX32" s="17"/>
      <c r="UFY32" s="17"/>
      <c r="UFZ32" s="17"/>
      <c r="UGA32" s="17"/>
      <c r="UGB32" s="17"/>
      <c r="UGC32" s="17"/>
      <c r="UGD32" s="17"/>
      <c r="UGE32" s="17"/>
      <c r="UGF32" s="17"/>
      <c r="UGG32" s="17"/>
      <c r="UGH32" s="17"/>
      <c r="UGI32" s="17"/>
      <c r="UGJ32" s="17"/>
      <c r="UGK32" s="17"/>
      <c r="UGL32" s="17"/>
      <c r="UGM32" s="17"/>
      <c r="UGN32" s="17"/>
      <c r="UGO32" s="17"/>
      <c r="UGP32" s="17"/>
      <c r="UGQ32" s="17"/>
      <c r="UGR32" s="17"/>
      <c r="UGS32" s="17"/>
      <c r="UGT32" s="17"/>
      <c r="UGU32" s="17"/>
      <c r="UGV32" s="17"/>
      <c r="UGW32" s="17"/>
      <c r="UGX32" s="17"/>
      <c r="UGY32" s="17"/>
      <c r="UGZ32" s="17"/>
      <c r="UHA32" s="17"/>
      <c r="UHB32" s="17"/>
      <c r="UHC32" s="17"/>
      <c r="UHD32" s="17"/>
      <c r="UHE32" s="17"/>
      <c r="UHF32" s="17"/>
      <c r="UHG32" s="17"/>
      <c r="UHH32" s="17"/>
      <c r="UHI32" s="17"/>
      <c r="UHJ32" s="17"/>
      <c r="UHK32" s="17"/>
      <c r="UHL32" s="17"/>
      <c r="UHM32" s="17"/>
      <c r="UHN32" s="17"/>
      <c r="UHO32" s="17"/>
      <c r="UHP32" s="17"/>
      <c r="UHQ32" s="17"/>
      <c r="UHR32" s="17"/>
      <c r="UHS32" s="17"/>
      <c r="UHT32" s="17"/>
      <c r="UHU32" s="17"/>
      <c r="UHV32" s="17"/>
      <c r="UHW32" s="17"/>
      <c r="UHX32" s="17"/>
      <c r="UHY32" s="17"/>
      <c r="UHZ32" s="17"/>
      <c r="UIA32" s="17"/>
      <c r="UIB32" s="17"/>
      <c r="UIC32" s="17"/>
      <c r="UID32" s="17"/>
      <c r="UIE32" s="17"/>
      <c r="UIF32" s="17"/>
      <c r="UIG32" s="17"/>
      <c r="UIH32" s="17"/>
      <c r="UII32" s="17"/>
      <c r="UIJ32" s="17"/>
      <c r="UIK32" s="17"/>
      <c r="UIL32" s="17"/>
      <c r="UIM32" s="17"/>
      <c r="UIN32" s="17"/>
      <c r="UIO32" s="17"/>
      <c r="UIP32" s="17"/>
      <c r="UIQ32" s="17"/>
      <c r="UIR32" s="17"/>
      <c r="UIS32" s="17"/>
      <c r="UIT32" s="17"/>
      <c r="UIU32" s="17"/>
      <c r="UIV32" s="17"/>
      <c r="UIW32" s="17"/>
      <c r="UIX32" s="17"/>
      <c r="UIY32" s="17"/>
      <c r="UIZ32" s="17"/>
      <c r="UJA32" s="17"/>
      <c r="UJB32" s="17"/>
      <c r="UJC32" s="17"/>
      <c r="UJD32" s="17"/>
      <c r="UJE32" s="17"/>
      <c r="UJF32" s="17"/>
      <c r="UJG32" s="17"/>
      <c r="UJH32" s="17"/>
      <c r="UJI32" s="17"/>
      <c r="UJJ32" s="17"/>
      <c r="UJK32" s="17"/>
      <c r="UJL32" s="17"/>
      <c r="UJM32" s="17"/>
      <c r="UJN32" s="17"/>
      <c r="UJO32" s="17"/>
      <c r="UJP32" s="17"/>
      <c r="UJQ32" s="17"/>
      <c r="UJR32" s="17"/>
      <c r="UJS32" s="17"/>
      <c r="UJT32" s="17"/>
      <c r="UJU32" s="17"/>
      <c r="UJV32" s="17"/>
      <c r="UJW32" s="17"/>
      <c r="UJX32" s="17"/>
      <c r="UJY32" s="17"/>
      <c r="UJZ32" s="17"/>
      <c r="UKA32" s="17"/>
      <c r="UKB32" s="17"/>
      <c r="UKC32" s="17"/>
      <c r="UKD32" s="17"/>
      <c r="UKE32" s="17"/>
      <c r="UKF32" s="17"/>
      <c r="UKG32" s="17"/>
      <c r="UKH32" s="17"/>
      <c r="UKI32" s="17"/>
      <c r="UKJ32" s="17"/>
      <c r="UKK32" s="17"/>
      <c r="UKL32" s="17"/>
      <c r="UKM32" s="17"/>
      <c r="UKN32" s="17"/>
      <c r="UKO32" s="17"/>
      <c r="UKP32" s="17"/>
      <c r="UKQ32" s="17"/>
      <c r="UKR32" s="17"/>
      <c r="UKS32" s="17"/>
      <c r="UKT32" s="17"/>
      <c r="UKU32" s="17"/>
      <c r="UKV32" s="17"/>
      <c r="UKW32" s="17"/>
      <c r="UKX32" s="17"/>
      <c r="UKY32" s="17"/>
      <c r="UKZ32" s="17"/>
      <c r="ULA32" s="17"/>
      <c r="ULB32" s="17"/>
      <c r="ULC32" s="17"/>
      <c r="ULD32" s="17"/>
      <c r="ULE32" s="17"/>
      <c r="ULF32" s="17"/>
      <c r="ULG32" s="17"/>
      <c r="ULH32" s="17"/>
      <c r="ULI32" s="17"/>
      <c r="ULJ32" s="17"/>
      <c r="ULK32" s="17"/>
      <c r="ULL32" s="17"/>
      <c r="ULM32" s="17"/>
      <c r="ULN32" s="17"/>
      <c r="ULO32" s="17"/>
      <c r="ULP32" s="17"/>
      <c r="ULQ32" s="17"/>
      <c r="ULR32" s="17"/>
      <c r="ULS32" s="17"/>
      <c r="ULT32" s="17"/>
      <c r="ULU32" s="17"/>
      <c r="ULV32" s="17"/>
      <c r="ULW32" s="17"/>
      <c r="ULX32" s="17"/>
      <c r="ULY32" s="17"/>
      <c r="ULZ32" s="17"/>
      <c r="UMA32" s="17"/>
      <c r="UMB32" s="17"/>
      <c r="UMC32" s="17"/>
      <c r="UMD32" s="17"/>
      <c r="UME32" s="17"/>
      <c r="UMF32" s="17"/>
      <c r="UMG32" s="17"/>
      <c r="UMH32" s="17"/>
      <c r="UMI32" s="17"/>
      <c r="UMJ32" s="17"/>
      <c r="UMK32" s="17"/>
      <c r="UML32" s="17"/>
      <c r="UMM32" s="17"/>
      <c r="UMN32" s="17"/>
      <c r="UMO32" s="17"/>
      <c r="UMP32" s="17"/>
      <c r="UMQ32" s="17"/>
      <c r="UMR32" s="17"/>
      <c r="UMS32" s="17"/>
      <c r="UMT32" s="17"/>
      <c r="UMU32" s="17"/>
      <c r="UMV32" s="17"/>
      <c r="UMW32" s="17"/>
      <c r="UMX32" s="17"/>
      <c r="UMY32" s="17"/>
      <c r="UMZ32" s="17"/>
      <c r="UNA32" s="17"/>
      <c r="UNB32" s="17"/>
      <c r="UNC32" s="17"/>
      <c r="UND32" s="17"/>
      <c r="UNE32" s="17"/>
      <c r="UNF32" s="17"/>
      <c r="UNG32" s="17"/>
      <c r="UNH32" s="17"/>
      <c r="UNI32" s="17"/>
      <c r="UNJ32" s="17"/>
      <c r="UNK32" s="17"/>
      <c r="UNL32" s="17"/>
      <c r="UNM32" s="17"/>
      <c r="UNN32" s="17"/>
      <c r="UNO32" s="17"/>
      <c r="UNP32" s="17"/>
      <c r="UNQ32" s="17"/>
      <c r="UNR32" s="17"/>
      <c r="UNS32" s="17"/>
      <c r="UNT32" s="17"/>
      <c r="UNU32" s="17"/>
      <c r="UNV32" s="17"/>
      <c r="UNW32" s="17"/>
      <c r="UNX32" s="17"/>
      <c r="UNY32" s="17"/>
      <c r="UNZ32" s="17"/>
      <c r="UOA32" s="17"/>
      <c r="UOB32" s="17"/>
      <c r="UOC32" s="17"/>
      <c r="UOD32" s="17"/>
      <c r="UOE32" s="17"/>
      <c r="UOF32" s="17"/>
      <c r="UOG32" s="17"/>
      <c r="UOH32" s="17"/>
      <c r="UOI32" s="17"/>
      <c r="UOJ32" s="17"/>
      <c r="UOK32" s="17"/>
      <c r="UOL32" s="17"/>
      <c r="UOM32" s="17"/>
      <c r="UON32" s="17"/>
      <c r="UOO32" s="17"/>
      <c r="UOP32" s="17"/>
      <c r="UOQ32" s="17"/>
      <c r="UOR32" s="17"/>
      <c r="UOS32" s="17"/>
      <c r="UOT32" s="17"/>
      <c r="UOU32" s="17"/>
      <c r="UOV32" s="17"/>
      <c r="UOW32" s="17"/>
      <c r="UOX32" s="17"/>
      <c r="UOY32" s="17"/>
      <c r="UOZ32" s="17"/>
      <c r="UPA32" s="17"/>
      <c r="UPB32" s="17"/>
      <c r="UPC32" s="17"/>
      <c r="UPD32" s="17"/>
      <c r="UPE32" s="17"/>
      <c r="UPF32" s="17"/>
      <c r="UPG32" s="17"/>
      <c r="UPH32" s="17"/>
      <c r="UPI32" s="17"/>
      <c r="UPJ32" s="17"/>
      <c r="UPK32" s="17"/>
      <c r="UPL32" s="17"/>
      <c r="UPM32" s="17"/>
      <c r="UPN32" s="17"/>
      <c r="UPO32" s="17"/>
      <c r="UPP32" s="17"/>
      <c r="UPQ32" s="17"/>
      <c r="UPR32" s="17"/>
      <c r="UPS32" s="17"/>
      <c r="UPT32" s="17"/>
      <c r="UPU32" s="17"/>
      <c r="UPV32" s="17"/>
      <c r="UPW32" s="17"/>
      <c r="UPX32" s="17"/>
      <c r="UPY32" s="17"/>
      <c r="UPZ32" s="17"/>
      <c r="UQA32" s="17"/>
      <c r="UQB32" s="17"/>
      <c r="UQC32" s="17"/>
      <c r="UQD32" s="17"/>
      <c r="UQE32" s="17"/>
      <c r="UQF32" s="17"/>
      <c r="UQG32" s="17"/>
      <c r="UQH32" s="17"/>
      <c r="UQI32" s="17"/>
      <c r="UQJ32" s="17"/>
      <c r="UQK32" s="17"/>
      <c r="UQL32" s="17"/>
      <c r="UQM32" s="17"/>
      <c r="UQN32" s="17"/>
      <c r="UQO32" s="17"/>
      <c r="UQP32" s="17"/>
      <c r="UQQ32" s="17"/>
      <c r="UQR32" s="17"/>
      <c r="UQS32" s="17"/>
      <c r="UQT32" s="17"/>
      <c r="UQU32" s="17"/>
      <c r="UQV32" s="17"/>
      <c r="UQW32" s="17"/>
      <c r="UQX32" s="17"/>
      <c r="UQY32" s="17"/>
      <c r="UQZ32" s="17"/>
      <c r="URA32" s="17"/>
      <c r="URB32" s="17"/>
      <c r="URC32" s="17"/>
      <c r="URD32" s="17"/>
      <c r="URE32" s="17"/>
      <c r="URF32" s="17"/>
      <c r="URG32" s="17"/>
      <c r="URH32" s="17"/>
      <c r="URI32" s="17"/>
      <c r="URJ32" s="17"/>
      <c r="URK32" s="17"/>
      <c r="URL32" s="17"/>
      <c r="URM32" s="17"/>
      <c r="URN32" s="17"/>
      <c r="URO32" s="17"/>
      <c r="URP32" s="17"/>
      <c r="URQ32" s="17"/>
      <c r="URR32" s="17"/>
      <c r="URS32" s="17"/>
      <c r="URT32" s="17"/>
      <c r="URU32" s="17"/>
      <c r="URV32" s="17"/>
      <c r="URW32" s="17"/>
      <c r="URX32" s="17"/>
      <c r="URY32" s="17"/>
      <c r="URZ32" s="17"/>
      <c r="USA32" s="17"/>
      <c r="USB32" s="17"/>
      <c r="USC32" s="17"/>
      <c r="USD32" s="17"/>
      <c r="USE32" s="17"/>
      <c r="USF32" s="17"/>
      <c r="USG32" s="17"/>
      <c r="USH32" s="17"/>
      <c r="USI32" s="17"/>
      <c r="USJ32" s="17"/>
      <c r="USK32" s="17"/>
      <c r="USL32" s="17"/>
      <c r="USM32" s="17"/>
      <c r="USN32" s="17"/>
      <c r="USO32" s="17"/>
      <c r="USP32" s="17"/>
      <c r="USQ32" s="17"/>
      <c r="USR32" s="17"/>
      <c r="USS32" s="17"/>
      <c r="UST32" s="17"/>
      <c r="USU32" s="17"/>
      <c r="USV32" s="17"/>
      <c r="USW32" s="17"/>
      <c r="USX32" s="17"/>
      <c r="USY32" s="17"/>
      <c r="USZ32" s="17"/>
      <c r="UTA32" s="17"/>
      <c r="UTB32" s="17"/>
      <c r="UTC32" s="17"/>
      <c r="UTD32" s="17"/>
      <c r="UTE32" s="17"/>
      <c r="UTF32" s="17"/>
      <c r="UTG32" s="17"/>
      <c r="UTH32" s="17"/>
      <c r="UTI32" s="17"/>
      <c r="UTJ32" s="17"/>
      <c r="UTK32" s="17"/>
      <c r="UTL32" s="17"/>
      <c r="UTM32" s="17"/>
      <c r="UTN32" s="17"/>
      <c r="UTO32" s="17"/>
      <c r="UTP32" s="17"/>
      <c r="UTQ32" s="17"/>
      <c r="UTR32" s="17"/>
      <c r="UTS32" s="17"/>
      <c r="UTT32" s="17"/>
      <c r="UTU32" s="17"/>
      <c r="UTV32" s="17"/>
      <c r="UTW32" s="17"/>
      <c r="UTX32" s="17"/>
      <c r="UTY32" s="17"/>
      <c r="UTZ32" s="17"/>
      <c r="UUA32" s="17"/>
      <c r="UUB32" s="17"/>
      <c r="UUC32" s="17"/>
      <c r="UUD32" s="17"/>
      <c r="UUE32" s="17"/>
      <c r="UUF32" s="17"/>
      <c r="UUG32" s="17"/>
      <c r="UUH32" s="17"/>
      <c r="UUI32" s="17"/>
      <c r="UUJ32" s="17"/>
      <c r="UUK32" s="17"/>
      <c r="UUL32" s="17"/>
      <c r="UUM32" s="17"/>
      <c r="UUN32" s="17"/>
      <c r="UUO32" s="17"/>
      <c r="UUP32" s="17"/>
      <c r="UUQ32" s="17"/>
      <c r="UUR32" s="17"/>
      <c r="UUS32" s="17"/>
      <c r="UUT32" s="17"/>
      <c r="UUU32" s="17"/>
      <c r="UUV32" s="17"/>
      <c r="UUW32" s="17"/>
      <c r="UUX32" s="17"/>
      <c r="UUY32" s="17"/>
      <c r="UUZ32" s="17"/>
      <c r="UVA32" s="17"/>
      <c r="UVB32" s="17"/>
      <c r="UVC32" s="17"/>
      <c r="UVD32" s="17"/>
      <c r="UVE32" s="17"/>
      <c r="UVF32" s="17"/>
      <c r="UVG32" s="17"/>
      <c r="UVH32" s="17"/>
      <c r="UVI32" s="17"/>
      <c r="UVJ32" s="17"/>
      <c r="UVK32" s="17"/>
      <c r="UVL32" s="17"/>
      <c r="UVM32" s="17"/>
      <c r="UVN32" s="17"/>
      <c r="UVO32" s="17"/>
      <c r="UVP32" s="17"/>
      <c r="UVQ32" s="17"/>
      <c r="UVR32" s="17"/>
      <c r="UVS32" s="17"/>
      <c r="UVT32" s="17"/>
      <c r="UVU32" s="17"/>
      <c r="UVV32" s="17"/>
      <c r="UVW32" s="17"/>
      <c r="UVX32" s="17"/>
      <c r="UVY32" s="17"/>
      <c r="UVZ32" s="17"/>
      <c r="UWA32" s="17"/>
      <c r="UWB32" s="17"/>
      <c r="UWC32" s="17"/>
      <c r="UWD32" s="17"/>
      <c r="UWE32" s="17"/>
      <c r="UWF32" s="17"/>
      <c r="UWG32" s="17"/>
      <c r="UWH32" s="17"/>
      <c r="UWI32" s="17"/>
      <c r="UWJ32" s="17"/>
      <c r="UWK32" s="17"/>
      <c r="UWL32" s="17"/>
      <c r="UWM32" s="17"/>
      <c r="UWN32" s="17"/>
      <c r="UWO32" s="17"/>
      <c r="UWP32" s="17"/>
      <c r="UWQ32" s="17"/>
      <c r="UWR32" s="17"/>
      <c r="UWS32" s="17"/>
      <c r="UWT32" s="17"/>
      <c r="UWU32" s="17"/>
      <c r="UWV32" s="17"/>
      <c r="UWW32" s="17"/>
      <c r="UWX32" s="17"/>
      <c r="UWY32" s="17"/>
      <c r="UWZ32" s="17"/>
      <c r="UXA32" s="17"/>
      <c r="UXB32" s="17"/>
      <c r="UXC32" s="17"/>
      <c r="UXD32" s="17"/>
      <c r="UXE32" s="17"/>
      <c r="UXF32" s="17"/>
      <c r="UXG32" s="17"/>
      <c r="UXH32" s="17"/>
      <c r="UXI32" s="17"/>
      <c r="UXJ32" s="17"/>
      <c r="UXK32" s="17"/>
      <c r="UXL32" s="17"/>
      <c r="UXM32" s="17"/>
      <c r="UXN32" s="17"/>
      <c r="UXO32" s="17"/>
      <c r="UXP32" s="17"/>
      <c r="UXQ32" s="17"/>
      <c r="UXR32" s="17"/>
      <c r="UXS32" s="17"/>
      <c r="UXT32" s="17"/>
      <c r="UXU32" s="17"/>
      <c r="UXV32" s="17"/>
      <c r="UXW32" s="17"/>
      <c r="UXX32" s="17"/>
      <c r="UXY32" s="17"/>
      <c r="UXZ32" s="17"/>
      <c r="UYA32" s="17"/>
      <c r="UYB32" s="17"/>
      <c r="UYC32" s="17"/>
      <c r="UYD32" s="17"/>
      <c r="UYE32" s="17"/>
      <c r="UYF32" s="17"/>
      <c r="UYG32" s="17"/>
      <c r="UYH32" s="17"/>
      <c r="UYI32" s="17"/>
      <c r="UYJ32" s="17"/>
      <c r="UYK32" s="17"/>
      <c r="UYL32" s="17"/>
      <c r="UYM32" s="17"/>
      <c r="UYN32" s="17"/>
      <c r="UYO32" s="17"/>
      <c r="UYP32" s="17"/>
      <c r="UYQ32" s="17"/>
      <c r="UYR32" s="17"/>
      <c r="UYS32" s="17"/>
      <c r="UYT32" s="17"/>
      <c r="UYU32" s="17"/>
      <c r="UYV32" s="17"/>
      <c r="UYW32" s="17"/>
      <c r="UYX32" s="17"/>
      <c r="UYY32" s="17"/>
      <c r="UYZ32" s="17"/>
      <c r="UZA32" s="17"/>
      <c r="UZB32" s="17"/>
      <c r="UZC32" s="17"/>
      <c r="UZD32" s="17"/>
      <c r="UZE32" s="17"/>
      <c r="UZF32" s="17"/>
      <c r="UZG32" s="17"/>
      <c r="UZH32" s="17"/>
      <c r="UZI32" s="17"/>
      <c r="UZJ32" s="17"/>
      <c r="UZK32" s="17"/>
      <c r="UZL32" s="17"/>
      <c r="UZM32" s="17"/>
      <c r="UZN32" s="17"/>
      <c r="UZO32" s="17"/>
      <c r="UZP32" s="17"/>
      <c r="UZQ32" s="17"/>
      <c r="UZR32" s="17"/>
      <c r="UZS32" s="17"/>
      <c r="UZT32" s="17"/>
      <c r="UZU32" s="17"/>
      <c r="UZV32" s="17"/>
      <c r="UZW32" s="17"/>
      <c r="UZX32" s="17"/>
      <c r="UZY32" s="17"/>
      <c r="UZZ32" s="17"/>
      <c r="VAA32" s="17"/>
      <c r="VAB32" s="17"/>
      <c r="VAC32" s="17"/>
      <c r="VAD32" s="17"/>
      <c r="VAE32" s="17"/>
      <c r="VAF32" s="17"/>
      <c r="VAG32" s="17"/>
      <c r="VAH32" s="17"/>
      <c r="VAI32" s="17"/>
      <c r="VAJ32" s="17"/>
      <c r="VAK32" s="17"/>
      <c r="VAL32" s="17"/>
      <c r="VAM32" s="17"/>
      <c r="VAN32" s="17"/>
      <c r="VAO32" s="17"/>
      <c r="VAP32" s="17"/>
      <c r="VAQ32" s="17"/>
      <c r="VAR32" s="17"/>
      <c r="VAS32" s="17"/>
      <c r="VAT32" s="17"/>
      <c r="VAU32" s="17"/>
      <c r="VAV32" s="17"/>
      <c r="VAW32" s="17"/>
      <c r="VAX32" s="17"/>
      <c r="VAY32" s="17"/>
      <c r="VAZ32" s="17"/>
      <c r="VBA32" s="17"/>
      <c r="VBB32" s="17"/>
      <c r="VBC32" s="17"/>
      <c r="VBD32" s="17"/>
      <c r="VBE32" s="17"/>
      <c r="VBF32" s="17"/>
      <c r="VBG32" s="17"/>
      <c r="VBH32" s="17"/>
      <c r="VBI32" s="17"/>
      <c r="VBJ32" s="17"/>
      <c r="VBK32" s="17"/>
      <c r="VBL32" s="17"/>
      <c r="VBM32" s="17"/>
      <c r="VBN32" s="17"/>
      <c r="VBO32" s="17"/>
      <c r="VBP32" s="17"/>
      <c r="VBQ32" s="17"/>
      <c r="VBR32" s="17"/>
      <c r="VBS32" s="17"/>
      <c r="VBT32" s="17"/>
      <c r="VBU32" s="17"/>
      <c r="VBV32" s="17"/>
      <c r="VBW32" s="17"/>
      <c r="VBX32" s="17"/>
      <c r="VBY32" s="17"/>
      <c r="VBZ32" s="17"/>
      <c r="VCA32" s="17"/>
      <c r="VCB32" s="17"/>
      <c r="VCC32" s="17"/>
      <c r="VCD32" s="17"/>
      <c r="VCE32" s="17"/>
      <c r="VCF32" s="17"/>
      <c r="VCG32" s="17"/>
      <c r="VCH32" s="17"/>
      <c r="VCI32" s="17"/>
      <c r="VCJ32" s="17"/>
      <c r="VCK32" s="17"/>
      <c r="VCL32" s="17"/>
      <c r="VCM32" s="17"/>
      <c r="VCN32" s="17"/>
      <c r="VCO32" s="17"/>
      <c r="VCP32" s="17"/>
      <c r="VCQ32" s="17"/>
      <c r="VCR32" s="17"/>
      <c r="VCS32" s="17"/>
      <c r="VCT32" s="17"/>
      <c r="VCU32" s="17"/>
      <c r="VCV32" s="17"/>
      <c r="VCW32" s="17"/>
      <c r="VCX32" s="17"/>
      <c r="VCY32" s="17"/>
      <c r="VCZ32" s="17"/>
      <c r="VDA32" s="17"/>
      <c r="VDB32" s="17"/>
      <c r="VDC32" s="17"/>
      <c r="VDD32" s="17"/>
      <c r="VDE32" s="17"/>
      <c r="VDF32" s="17"/>
      <c r="VDG32" s="17"/>
      <c r="VDH32" s="17"/>
      <c r="VDI32" s="17"/>
      <c r="VDJ32" s="17"/>
      <c r="VDK32" s="17"/>
      <c r="VDL32" s="17"/>
      <c r="VDM32" s="17"/>
      <c r="VDN32" s="17"/>
      <c r="VDO32" s="17"/>
      <c r="VDP32" s="17"/>
      <c r="VDQ32" s="17"/>
      <c r="VDR32" s="17"/>
      <c r="VDS32" s="17"/>
      <c r="VDT32" s="17"/>
      <c r="VDU32" s="17"/>
      <c r="VDV32" s="17"/>
      <c r="VDW32" s="17"/>
      <c r="VDX32" s="17"/>
      <c r="VDY32" s="17"/>
      <c r="VDZ32" s="17"/>
      <c r="VEA32" s="17"/>
      <c r="VEB32" s="17"/>
      <c r="VEC32" s="17"/>
      <c r="VED32" s="17"/>
      <c r="VEE32" s="17"/>
      <c r="VEF32" s="17"/>
      <c r="VEG32" s="17"/>
      <c r="VEH32" s="17"/>
      <c r="VEI32" s="17"/>
      <c r="VEJ32" s="17"/>
      <c r="VEK32" s="17"/>
      <c r="VEL32" s="17"/>
      <c r="VEM32" s="17"/>
      <c r="VEN32" s="17"/>
      <c r="VEO32" s="17"/>
      <c r="VEP32" s="17"/>
      <c r="VEQ32" s="17"/>
      <c r="VER32" s="17"/>
      <c r="VES32" s="17"/>
      <c r="VET32" s="17"/>
      <c r="VEU32" s="17"/>
      <c r="VEV32" s="17"/>
      <c r="VEW32" s="17"/>
      <c r="VEX32" s="17"/>
      <c r="VEY32" s="17"/>
      <c r="VEZ32" s="17"/>
      <c r="VFA32" s="17"/>
      <c r="VFB32" s="17"/>
      <c r="VFC32" s="17"/>
      <c r="VFD32" s="17"/>
      <c r="VFE32" s="17"/>
      <c r="VFF32" s="17"/>
      <c r="VFG32" s="17"/>
      <c r="VFH32" s="17"/>
      <c r="VFI32" s="17"/>
      <c r="VFJ32" s="17"/>
      <c r="VFK32" s="17"/>
      <c r="VFL32" s="17"/>
      <c r="VFM32" s="17"/>
      <c r="VFN32" s="17"/>
      <c r="VFO32" s="17"/>
      <c r="VFP32" s="17"/>
      <c r="VFQ32" s="17"/>
      <c r="VFR32" s="17"/>
      <c r="VFS32" s="17"/>
      <c r="VFT32" s="17"/>
      <c r="VFU32" s="17"/>
      <c r="VFV32" s="17"/>
      <c r="VFW32" s="17"/>
      <c r="VFX32" s="17"/>
      <c r="VFY32" s="17"/>
      <c r="VFZ32" s="17"/>
      <c r="VGA32" s="17"/>
      <c r="VGB32" s="17"/>
      <c r="VGC32" s="17"/>
      <c r="VGD32" s="17"/>
      <c r="VGE32" s="17"/>
      <c r="VGF32" s="17"/>
      <c r="VGG32" s="17"/>
      <c r="VGH32" s="17"/>
      <c r="VGI32" s="17"/>
      <c r="VGJ32" s="17"/>
      <c r="VGK32" s="17"/>
      <c r="VGL32" s="17"/>
      <c r="VGM32" s="17"/>
      <c r="VGN32" s="17"/>
      <c r="VGO32" s="17"/>
      <c r="VGP32" s="17"/>
      <c r="VGQ32" s="17"/>
      <c r="VGR32" s="17"/>
      <c r="VGS32" s="17"/>
      <c r="VGT32" s="17"/>
      <c r="VGU32" s="17"/>
      <c r="VGV32" s="17"/>
      <c r="VGW32" s="17"/>
      <c r="VGX32" s="17"/>
      <c r="VGY32" s="17"/>
      <c r="VGZ32" s="17"/>
      <c r="VHA32" s="17"/>
      <c r="VHB32" s="17"/>
      <c r="VHC32" s="17"/>
      <c r="VHD32" s="17"/>
      <c r="VHE32" s="17"/>
      <c r="VHF32" s="17"/>
      <c r="VHG32" s="17"/>
      <c r="VHH32" s="17"/>
      <c r="VHI32" s="17"/>
      <c r="VHJ32" s="17"/>
      <c r="VHK32" s="17"/>
      <c r="VHL32" s="17"/>
      <c r="VHM32" s="17"/>
      <c r="VHN32" s="17"/>
      <c r="VHO32" s="17"/>
      <c r="VHP32" s="17"/>
      <c r="VHQ32" s="17"/>
      <c r="VHR32" s="17"/>
      <c r="VHS32" s="17"/>
      <c r="VHT32" s="17"/>
      <c r="VHU32" s="17"/>
      <c r="VHV32" s="17"/>
      <c r="VHW32" s="17"/>
      <c r="VHX32" s="17"/>
      <c r="VHY32" s="17"/>
      <c r="VHZ32" s="17"/>
      <c r="VIA32" s="17"/>
      <c r="VIB32" s="17"/>
      <c r="VIC32" s="17"/>
      <c r="VID32" s="17"/>
      <c r="VIE32" s="17"/>
      <c r="VIF32" s="17"/>
      <c r="VIG32" s="17"/>
      <c r="VIH32" s="17"/>
      <c r="VII32" s="17"/>
      <c r="VIJ32" s="17"/>
      <c r="VIK32" s="17"/>
      <c r="VIL32" s="17"/>
      <c r="VIM32" s="17"/>
      <c r="VIN32" s="17"/>
      <c r="VIO32" s="17"/>
      <c r="VIP32" s="17"/>
      <c r="VIQ32" s="17"/>
      <c r="VIR32" s="17"/>
      <c r="VIS32" s="17"/>
      <c r="VIT32" s="17"/>
      <c r="VIU32" s="17"/>
      <c r="VIV32" s="17"/>
      <c r="VIW32" s="17"/>
      <c r="VIX32" s="17"/>
      <c r="VIY32" s="17"/>
      <c r="VIZ32" s="17"/>
      <c r="VJA32" s="17"/>
      <c r="VJB32" s="17"/>
      <c r="VJC32" s="17"/>
      <c r="VJD32" s="17"/>
      <c r="VJE32" s="17"/>
      <c r="VJF32" s="17"/>
      <c r="VJG32" s="17"/>
      <c r="VJH32" s="17"/>
      <c r="VJI32" s="17"/>
      <c r="VJJ32" s="17"/>
      <c r="VJK32" s="17"/>
      <c r="VJL32" s="17"/>
      <c r="VJM32" s="17"/>
      <c r="VJN32" s="17"/>
      <c r="VJO32" s="17"/>
      <c r="VJP32" s="17"/>
      <c r="VJQ32" s="17"/>
      <c r="VJR32" s="17"/>
      <c r="VJS32" s="17"/>
      <c r="VJT32" s="17"/>
      <c r="VJU32" s="17"/>
      <c r="VJV32" s="17"/>
      <c r="VJW32" s="17"/>
      <c r="VJX32" s="17"/>
      <c r="VJY32" s="17"/>
      <c r="VJZ32" s="17"/>
      <c r="VKA32" s="17"/>
      <c r="VKB32" s="17"/>
      <c r="VKC32" s="17"/>
      <c r="VKD32" s="17"/>
      <c r="VKE32" s="17"/>
      <c r="VKF32" s="17"/>
      <c r="VKG32" s="17"/>
      <c r="VKH32" s="17"/>
      <c r="VKI32" s="17"/>
      <c r="VKJ32" s="17"/>
      <c r="VKK32" s="17"/>
      <c r="VKL32" s="17"/>
      <c r="VKM32" s="17"/>
      <c r="VKN32" s="17"/>
      <c r="VKO32" s="17"/>
      <c r="VKP32" s="17"/>
      <c r="VKQ32" s="17"/>
      <c r="VKR32" s="17"/>
      <c r="VKS32" s="17"/>
      <c r="VKT32" s="17"/>
      <c r="VKU32" s="17"/>
      <c r="VKV32" s="17"/>
      <c r="VKW32" s="17"/>
      <c r="VKX32" s="17"/>
      <c r="VKY32" s="17"/>
      <c r="VKZ32" s="17"/>
      <c r="VLA32" s="17"/>
      <c r="VLB32" s="17"/>
      <c r="VLC32" s="17"/>
      <c r="VLD32" s="17"/>
      <c r="VLE32" s="17"/>
      <c r="VLF32" s="17"/>
      <c r="VLG32" s="17"/>
      <c r="VLH32" s="17"/>
      <c r="VLI32" s="17"/>
      <c r="VLJ32" s="17"/>
      <c r="VLK32" s="17"/>
      <c r="VLL32" s="17"/>
      <c r="VLM32" s="17"/>
      <c r="VLN32" s="17"/>
      <c r="VLO32" s="17"/>
      <c r="VLP32" s="17"/>
      <c r="VLQ32" s="17"/>
      <c r="VLR32" s="17"/>
      <c r="VLS32" s="17"/>
      <c r="VLT32" s="17"/>
      <c r="VLU32" s="17"/>
      <c r="VLV32" s="17"/>
      <c r="VLW32" s="17"/>
      <c r="VLX32" s="17"/>
      <c r="VLY32" s="17"/>
      <c r="VLZ32" s="17"/>
      <c r="VMA32" s="17"/>
      <c r="VMB32" s="17"/>
      <c r="VMC32" s="17"/>
      <c r="VMD32" s="17"/>
      <c r="VME32" s="17"/>
      <c r="VMF32" s="17"/>
      <c r="VMG32" s="17"/>
      <c r="VMH32" s="17"/>
      <c r="VMI32" s="17"/>
      <c r="VMJ32" s="17"/>
      <c r="VMK32" s="17"/>
      <c r="VML32" s="17"/>
      <c r="VMM32" s="17"/>
      <c r="VMN32" s="17"/>
      <c r="VMO32" s="17"/>
      <c r="VMP32" s="17"/>
      <c r="VMQ32" s="17"/>
      <c r="VMR32" s="17"/>
      <c r="VMS32" s="17"/>
      <c r="VMT32" s="17"/>
      <c r="VMU32" s="17"/>
      <c r="VMV32" s="17"/>
      <c r="VMW32" s="17"/>
      <c r="VMX32" s="17"/>
      <c r="VMY32" s="17"/>
      <c r="VMZ32" s="17"/>
      <c r="VNA32" s="17"/>
      <c r="VNB32" s="17"/>
      <c r="VNC32" s="17"/>
      <c r="VND32" s="17"/>
      <c r="VNE32" s="17"/>
      <c r="VNF32" s="17"/>
      <c r="VNG32" s="17"/>
      <c r="VNH32" s="17"/>
      <c r="VNI32" s="17"/>
      <c r="VNJ32" s="17"/>
      <c r="VNK32" s="17"/>
      <c r="VNL32" s="17"/>
      <c r="VNM32" s="17"/>
      <c r="VNN32" s="17"/>
      <c r="VNO32" s="17"/>
      <c r="VNP32" s="17"/>
      <c r="VNQ32" s="17"/>
      <c r="VNR32" s="17"/>
      <c r="VNS32" s="17"/>
      <c r="VNT32" s="17"/>
      <c r="VNU32" s="17"/>
      <c r="VNV32" s="17"/>
      <c r="VNW32" s="17"/>
      <c r="VNX32" s="17"/>
      <c r="VNY32" s="17"/>
      <c r="VNZ32" s="17"/>
      <c r="VOA32" s="17"/>
      <c r="VOB32" s="17"/>
      <c r="VOC32" s="17"/>
      <c r="VOD32" s="17"/>
      <c r="VOE32" s="17"/>
      <c r="VOF32" s="17"/>
      <c r="VOG32" s="17"/>
      <c r="VOH32" s="17"/>
      <c r="VOI32" s="17"/>
      <c r="VOJ32" s="17"/>
      <c r="VOK32" s="17"/>
      <c r="VOL32" s="17"/>
      <c r="VOM32" s="17"/>
      <c r="VON32" s="17"/>
      <c r="VOO32" s="17"/>
      <c r="VOP32" s="17"/>
      <c r="VOQ32" s="17"/>
      <c r="VOR32" s="17"/>
      <c r="VOS32" s="17"/>
      <c r="VOT32" s="17"/>
      <c r="VOU32" s="17"/>
      <c r="VOV32" s="17"/>
      <c r="VOW32" s="17"/>
      <c r="VOX32" s="17"/>
      <c r="VOY32" s="17"/>
      <c r="VOZ32" s="17"/>
      <c r="VPA32" s="17"/>
      <c r="VPB32" s="17"/>
      <c r="VPC32" s="17"/>
      <c r="VPD32" s="17"/>
      <c r="VPE32" s="17"/>
      <c r="VPF32" s="17"/>
      <c r="VPG32" s="17"/>
      <c r="VPH32" s="17"/>
      <c r="VPI32" s="17"/>
      <c r="VPJ32" s="17"/>
      <c r="VPK32" s="17"/>
      <c r="VPL32" s="17"/>
      <c r="VPM32" s="17"/>
      <c r="VPN32" s="17"/>
      <c r="VPO32" s="17"/>
      <c r="VPP32" s="17"/>
      <c r="VPQ32" s="17"/>
      <c r="VPR32" s="17"/>
      <c r="VPS32" s="17"/>
      <c r="VPT32" s="17"/>
      <c r="VPU32" s="17"/>
      <c r="VPV32" s="17"/>
      <c r="VPW32" s="17"/>
      <c r="VPX32" s="17"/>
      <c r="VPY32" s="17"/>
      <c r="VPZ32" s="17"/>
      <c r="VQA32" s="17"/>
      <c r="VQB32" s="17"/>
      <c r="VQC32" s="17"/>
      <c r="VQD32" s="17"/>
      <c r="VQE32" s="17"/>
      <c r="VQF32" s="17"/>
      <c r="VQG32" s="17"/>
      <c r="VQH32" s="17"/>
      <c r="VQI32" s="17"/>
      <c r="VQJ32" s="17"/>
      <c r="VQK32" s="17"/>
      <c r="VQL32" s="17"/>
      <c r="VQM32" s="17"/>
      <c r="VQN32" s="17"/>
      <c r="VQO32" s="17"/>
      <c r="VQP32" s="17"/>
      <c r="VQQ32" s="17"/>
      <c r="VQR32" s="17"/>
      <c r="VQS32" s="17"/>
      <c r="VQT32" s="17"/>
      <c r="VQU32" s="17"/>
      <c r="VQV32" s="17"/>
      <c r="VQW32" s="17"/>
      <c r="VQX32" s="17"/>
      <c r="VQY32" s="17"/>
      <c r="VQZ32" s="17"/>
      <c r="VRA32" s="17"/>
      <c r="VRB32" s="17"/>
      <c r="VRC32" s="17"/>
      <c r="VRD32" s="17"/>
      <c r="VRE32" s="17"/>
      <c r="VRF32" s="17"/>
      <c r="VRG32" s="17"/>
      <c r="VRH32" s="17"/>
      <c r="VRI32" s="17"/>
      <c r="VRJ32" s="17"/>
      <c r="VRK32" s="17"/>
      <c r="VRL32" s="17"/>
      <c r="VRM32" s="17"/>
      <c r="VRN32" s="17"/>
      <c r="VRO32" s="17"/>
      <c r="VRP32" s="17"/>
      <c r="VRQ32" s="17"/>
      <c r="VRR32" s="17"/>
      <c r="VRS32" s="17"/>
      <c r="VRT32" s="17"/>
      <c r="VRU32" s="17"/>
      <c r="VRV32" s="17"/>
      <c r="VRW32" s="17"/>
      <c r="VRX32" s="17"/>
      <c r="VRY32" s="17"/>
      <c r="VRZ32" s="17"/>
      <c r="VSA32" s="17"/>
      <c r="VSB32" s="17"/>
      <c r="VSC32" s="17"/>
      <c r="VSD32" s="17"/>
      <c r="VSE32" s="17"/>
      <c r="VSF32" s="17"/>
      <c r="VSG32" s="17"/>
      <c r="VSH32" s="17"/>
      <c r="VSI32" s="17"/>
      <c r="VSJ32" s="17"/>
      <c r="VSK32" s="17"/>
      <c r="VSL32" s="17"/>
      <c r="VSM32" s="17"/>
      <c r="VSN32" s="17"/>
      <c r="VSO32" s="17"/>
      <c r="VSP32" s="17"/>
      <c r="VSQ32" s="17"/>
      <c r="VSR32" s="17"/>
      <c r="VSS32" s="17"/>
      <c r="VST32" s="17"/>
      <c r="VSU32" s="17"/>
      <c r="VSV32" s="17"/>
      <c r="VSW32" s="17"/>
      <c r="VSX32" s="17"/>
      <c r="VSY32" s="17"/>
      <c r="VSZ32" s="17"/>
      <c r="VTA32" s="17"/>
      <c r="VTB32" s="17"/>
      <c r="VTC32" s="17"/>
      <c r="VTD32" s="17"/>
      <c r="VTE32" s="17"/>
      <c r="VTF32" s="17"/>
      <c r="VTG32" s="17"/>
      <c r="VTH32" s="17"/>
      <c r="VTI32" s="17"/>
      <c r="VTJ32" s="17"/>
      <c r="VTK32" s="17"/>
      <c r="VTL32" s="17"/>
      <c r="VTM32" s="17"/>
      <c r="VTN32" s="17"/>
      <c r="VTO32" s="17"/>
      <c r="VTP32" s="17"/>
      <c r="VTQ32" s="17"/>
      <c r="VTR32" s="17"/>
      <c r="VTS32" s="17"/>
      <c r="VTT32" s="17"/>
      <c r="VTU32" s="17"/>
      <c r="VTV32" s="17"/>
      <c r="VTW32" s="17"/>
      <c r="VTX32" s="17"/>
      <c r="VTY32" s="17"/>
      <c r="VTZ32" s="17"/>
      <c r="VUA32" s="17"/>
      <c r="VUB32" s="17"/>
      <c r="VUC32" s="17"/>
      <c r="VUD32" s="17"/>
      <c r="VUE32" s="17"/>
      <c r="VUF32" s="17"/>
      <c r="VUG32" s="17"/>
      <c r="VUH32" s="17"/>
      <c r="VUI32" s="17"/>
      <c r="VUJ32" s="17"/>
      <c r="VUK32" s="17"/>
      <c r="VUL32" s="17"/>
      <c r="VUM32" s="17"/>
      <c r="VUN32" s="17"/>
      <c r="VUO32" s="17"/>
      <c r="VUP32" s="17"/>
      <c r="VUQ32" s="17"/>
      <c r="VUR32" s="17"/>
      <c r="VUS32" s="17"/>
      <c r="VUT32" s="17"/>
      <c r="VUU32" s="17"/>
      <c r="VUV32" s="17"/>
      <c r="VUW32" s="17"/>
      <c r="VUX32" s="17"/>
      <c r="VUY32" s="17"/>
      <c r="VUZ32" s="17"/>
      <c r="VVA32" s="17"/>
      <c r="VVB32" s="17"/>
      <c r="VVC32" s="17"/>
      <c r="VVD32" s="17"/>
      <c r="VVE32" s="17"/>
      <c r="VVF32" s="17"/>
      <c r="VVG32" s="17"/>
      <c r="VVH32" s="17"/>
      <c r="VVI32" s="17"/>
      <c r="VVJ32" s="17"/>
      <c r="VVK32" s="17"/>
      <c r="VVL32" s="17"/>
      <c r="VVM32" s="17"/>
      <c r="VVN32" s="17"/>
      <c r="VVO32" s="17"/>
      <c r="VVP32" s="17"/>
      <c r="VVQ32" s="17"/>
      <c r="VVR32" s="17"/>
      <c r="VVS32" s="17"/>
      <c r="VVT32" s="17"/>
      <c r="VVU32" s="17"/>
      <c r="VVV32" s="17"/>
      <c r="VVW32" s="17"/>
      <c r="VVX32" s="17"/>
      <c r="VVY32" s="17"/>
      <c r="VVZ32" s="17"/>
      <c r="VWA32" s="17"/>
      <c r="VWB32" s="17"/>
      <c r="VWC32" s="17"/>
      <c r="VWD32" s="17"/>
      <c r="VWE32" s="17"/>
      <c r="VWF32" s="17"/>
      <c r="VWG32" s="17"/>
      <c r="VWH32" s="17"/>
      <c r="VWI32" s="17"/>
      <c r="VWJ32" s="17"/>
      <c r="VWK32" s="17"/>
      <c r="VWL32" s="17"/>
      <c r="VWM32" s="17"/>
      <c r="VWN32" s="17"/>
      <c r="VWO32" s="17"/>
      <c r="VWP32" s="17"/>
      <c r="VWQ32" s="17"/>
      <c r="VWR32" s="17"/>
      <c r="VWS32" s="17"/>
      <c r="VWT32" s="17"/>
      <c r="VWU32" s="17"/>
      <c r="VWV32" s="17"/>
      <c r="VWW32" s="17"/>
      <c r="VWX32" s="17"/>
      <c r="VWY32" s="17"/>
      <c r="VWZ32" s="17"/>
      <c r="VXA32" s="17"/>
      <c r="VXB32" s="17"/>
      <c r="VXC32" s="17"/>
      <c r="VXD32" s="17"/>
      <c r="VXE32" s="17"/>
      <c r="VXF32" s="17"/>
      <c r="VXG32" s="17"/>
      <c r="VXH32" s="17"/>
      <c r="VXI32" s="17"/>
      <c r="VXJ32" s="17"/>
      <c r="VXK32" s="17"/>
      <c r="VXL32" s="17"/>
      <c r="VXM32" s="17"/>
      <c r="VXN32" s="17"/>
      <c r="VXO32" s="17"/>
      <c r="VXP32" s="17"/>
      <c r="VXQ32" s="17"/>
      <c r="VXR32" s="17"/>
      <c r="VXS32" s="17"/>
      <c r="VXT32" s="17"/>
      <c r="VXU32" s="17"/>
      <c r="VXV32" s="17"/>
      <c r="VXW32" s="17"/>
      <c r="VXX32" s="17"/>
      <c r="VXY32" s="17"/>
      <c r="VXZ32" s="17"/>
      <c r="VYA32" s="17"/>
      <c r="VYB32" s="17"/>
      <c r="VYC32" s="17"/>
      <c r="VYD32" s="17"/>
      <c r="VYE32" s="17"/>
      <c r="VYF32" s="17"/>
      <c r="VYG32" s="17"/>
      <c r="VYH32" s="17"/>
      <c r="VYI32" s="17"/>
      <c r="VYJ32" s="17"/>
      <c r="VYK32" s="17"/>
      <c r="VYL32" s="17"/>
      <c r="VYM32" s="17"/>
      <c r="VYN32" s="17"/>
      <c r="VYO32" s="17"/>
      <c r="VYP32" s="17"/>
      <c r="VYQ32" s="17"/>
      <c r="VYR32" s="17"/>
      <c r="VYS32" s="17"/>
      <c r="VYT32" s="17"/>
      <c r="VYU32" s="17"/>
      <c r="VYV32" s="17"/>
      <c r="VYW32" s="17"/>
      <c r="VYX32" s="17"/>
      <c r="VYY32" s="17"/>
      <c r="VYZ32" s="17"/>
      <c r="VZA32" s="17"/>
      <c r="VZB32" s="17"/>
      <c r="VZC32" s="17"/>
      <c r="VZD32" s="17"/>
      <c r="VZE32" s="17"/>
      <c r="VZF32" s="17"/>
      <c r="VZG32" s="17"/>
      <c r="VZH32" s="17"/>
      <c r="VZI32" s="17"/>
      <c r="VZJ32" s="17"/>
      <c r="VZK32" s="17"/>
      <c r="VZL32" s="17"/>
      <c r="VZM32" s="17"/>
      <c r="VZN32" s="17"/>
      <c r="VZO32" s="17"/>
      <c r="VZP32" s="17"/>
      <c r="VZQ32" s="17"/>
      <c r="VZR32" s="17"/>
      <c r="VZS32" s="17"/>
      <c r="VZT32" s="17"/>
      <c r="VZU32" s="17"/>
      <c r="VZV32" s="17"/>
      <c r="VZW32" s="17"/>
      <c r="VZX32" s="17"/>
      <c r="VZY32" s="17"/>
      <c r="VZZ32" s="17"/>
      <c r="WAA32" s="17"/>
      <c r="WAB32" s="17"/>
      <c r="WAC32" s="17"/>
      <c r="WAD32" s="17"/>
      <c r="WAE32" s="17"/>
      <c r="WAF32" s="17"/>
      <c r="WAG32" s="17"/>
      <c r="WAH32" s="17"/>
      <c r="WAI32" s="17"/>
      <c r="WAJ32" s="17"/>
      <c r="WAK32" s="17"/>
      <c r="WAL32" s="17"/>
      <c r="WAM32" s="17"/>
      <c r="WAN32" s="17"/>
      <c r="WAO32" s="17"/>
      <c r="WAP32" s="17"/>
      <c r="WAQ32" s="17"/>
      <c r="WAR32" s="17"/>
      <c r="WAS32" s="17"/>
      <c r="WAT32" s="17"/>
      <c r="WAU32" s="17"/>
      <c r="WAV32" s="17"/>
      <c r="WAW32" s="17"/>
      <c r="WAX32" s="17"/>
      <c r="WAY32" s="17"/>
      <c r="WAZ32" s="17"/>
      <c r="WBA32" s="17"/>
      <c r="WBB32" s="17"/>
      <c r="WBC32" s="17"/>
      <c r="WBD32" s="17"/>
      <c r="WBE32" s="17"/>
      <c r="WBF32" s="17"/>
      <c r="WBG32" s="17"/>
      <c r="WBH32" s="17"/>
      <c r="WBI32" s="17"/>
      <c r="WBJ32" s="17"/>
      <c r="WBK32" s="17"/>
      <c r="WBL32" s="17"/>
      <c r="WBM32" s="17"/>
      <c r="WBN32" s="17"/>
      <c r="WBO32" s="17"/>
      <c r="WBP32" s="17"/>
      <c r="WBQ32" s="17"/>
      <c r="WBR32" s="17"/>
      <c r="WBS32" s="17"/>
      <c r="WBT32" s="17"/>
      <c r="WBU32" s="17"/>
      <c r="WBV32" s="17"/>
      <c r="WBW32" s="17"/>
      <c r="WBX32" s="17"/>
      <c r="WBY32" s="17"/>
      <c r="WBZ32" s="17"/>
      <c r="WCA32" s="17"/>
      <c r="WCB32" s="17"/>
      <c r="WCC32" s="17"/>
      <c r="WCD32" s="17"/>
      <c r="WCE32" s="17"/>
      <c r="WCF32" s="17"/>
      <c r="WCG32" s="17"/>
      <c r="WCH32" s="17"/>
      <c r="WCI32" s="17"/>
      <c r="WCJ32" s="17"/>
      <c r="WCK32" s="17"/>
      <c r="WCL32" s="17"/>
      <c r="WCM32" s="17"/>
      <c r="WCN32" s="17"/>
      <c r="WCO32" s="17"/>
      <c r="WCP32" s="17"/>
      <c r="WCQ32" s="17"/>
      <c r="WCR32" s="17"/>
      <c r="WCS32" s="17"/>
      <c r="WCT32" s="17"/>
      <c r="WCU32" s="17"/>
      <c r="WCV32" s="17"/>
      <c r="WCW32" s="17"/>
      <c r="WCX32" s="17"/>
      <c r="WCY32" s="17"/>
      <c r="WCZ32" s="17"/>
      <c r="WDA32" s="17"/>
      <c r="WDB32" s="17"/>
      <c r="WDC32" s="17"/>
      <c r="WDD32" s="17"/>
      <c r="WDE32" s="17"/>
      <c r="WDF32" s="17"/>
      <c r="WDG32" s="17"/>
      <c r="WDH32" s="17"/>
      <c r="WDI32" s="17"/>
      <c r="WDJ32" s="17"/>
      <c r="WDK32" s="17"/>
      <c r="WDL32" s="17"/>
      <c r="WDM32" s="17"/>
      <c r="WDN32" s="17"/>
      <c r="WDO32" s="17"/>
      <c r="WDP32" s="17"/>
      <c r="WDQ32" s="17"/>
      <c r="WDR32" s="17"/>
      <c r="WDS32" s="17"/>
      <c r="WDT32" s="17"/>
      <c r="WDU32" s="17"/>
      <c r="WDV32" s="17"/>
      <c r="WDW32" s="17"/>
      <c r="WDX32" s="17"/>
      <c r="WDY32" s="17"/>
      <c r="WDZ32" s="17"/>
      <c r="WEA32" s="17"/>
      <c r="WEB32" s="17"/>
      <c r="WEC32" s="17"/>
      <c r="WED32" s="17"/>
      <c r="WEE32" s="17"/>
      <c r="WEF32" s="17"/>
      <c r="WEG32" s="17"/>
      <c r="WEH32" s="17"/>
      <c r="WEI32" s="17"/>
      <c r="WEJ32" s="17"/>
      <c r="WEK32" s="17"/>
      <c r="WEL32" s="17"/>
      <c r="WEM32" s="17"/>
      <c r="WEN32" s="17"/>
      <c r="WEO32" s="17"/>
      <c r="WEP32" s="17"/>
      <c r="WEQ32" s="17"/>
      <c r="WER32" s="17"/>
      <c r="WES32" s="17"/>
      <c r="WET32" s="17"/>
      <c r="WEU32" s="17"/>
      <c r="WEV32" s="17"/>
      <c r="WEW32" s="17"/>
      <c r="WEX32" s="17"/>
      <c r="WEY32" s="17"/>
      <c r="WEZ32" s="17"/>
      <c r="WFA32" s="17"/>
      <c r="WFB32" s="17"/>
      <c r="WFC32" s="17"/>
      <c r="WFD32" s="17"/>
      <c r="WFE32" s="17"/>
      <c r="WFF32" s="17"/>
      <c r="WFG32" s="17"/>
      <c r="WFH32" s="17"/>
      <c r="WFI32" s="17"/>
      <c r="WFJ32" s="17"/>
      <c r="WFK32" s="17"/>
      <c r="WFL32" s="17"/>
      <c r="WFM32" s="17"/>
      <c r="WFN32" s="17"/>
      <c r="WFO32" s="17"/>
      <c r="WFP32" s="17"/>
      <c r="WFQ32" s="17"/>
      <c r="WFR32" s="17"/>
      <c r="WFS32" s="17"/>
      <c r="WFT32" s="17"/>
      <c r="WFU32" s="17"/>
      <c r="WFV32" s="17"/>
      <c r="WFW32" s="17"/>
      <c r="WFX32" s="17"/>
      <c r="WFY32" s="17"/>
      <c r="WFZ32" s="17"/>
      <c r="WGA32" s="17"/>
      <c r="WGB32" s="17"/>
      <c r="WGC32" s="17"/>
      <c r="WGD32" s="17"/>
      <c r="WGE32" s="17"/>
      <c r="WGF32" s="17"/>
      <c r="WGG32" s="17"/>
      <c r="WGH32" s="17"/>
      <c r="WGI32" s="17"/>
      <c r="WGJ32" s="17"/>
      <c r="WGK32" s="17"/>
      <c r="WGL32" s="17"/>
      <c r="WGM32" s="17"/>
      <c r="WGN32" s="17"/>
      <c r="WGO32" s="17"/>
      <c r="WGP32" s="17"/>
      <c r="WGQ32" s="17"/>
      <c r="WGR32" s="17"/>
      <c r="WGS32" s="17"/>
      <c r="WGT32" s="17"/>
      <c r="WGU32" s="17"/>
      <c r="WGV32" s="17"/>
      <c r="WGW32" s="17"/>
      <c r="WGX32" s="17"/>
      <c r="WGY32" s="17"/>
      <c r="WGZ32" s="17"/>
      <c r="WHA32" s="17"/>
      <c r="WHB32" s="17"/>
      <c r="WHC32" s="17"/>
      <c r="WHD32" s="17"/>
      <c r="WHE32" s="17"/>
      <c r="WHF32" s="17"/>
      <c r="WHG32" s="17"/>
      <c r="WHH32" s="17"/>
      <c r="WHI32" s="17"/>
      <c r="WHJ32" s="17"/>
      <c r="WHK32" s="17"/>
      <c r="WHL32" s="17"/>
      <c r="WHM32" s="17"/>
      <c r="WHN32" s="17"/>
      <c r="WHO32" s="17"/>
      <c r="WHP32" s="17"/>
      <c r="WHQ32" s="17"/>
      <c r="WHR32" s="17"/>
      <c r="WHS32" s="17"/>
      <c r="WHT32" s="17"/>
      <c r="WHU32" s="17"/>
      <c r="WHV32" s="17"/>
      <c r="WHW32" s="17"/>
      <c r="WHX32" s="17"/>
      <c r="WHY32" s="17"/>
      <c r="WHZ32" s="17"/>
      <c r="WIA32" s="17"/>
      <c r="WIB32" s="17"/>
      <c r="WIC32" s="17"/>
      <c r="WID32" s="17"/>
      <c r="WIE32" s="17"/>
      <c r="WIF32" s="17"/>
      <c r="WIG32" s="17"/>
      <c r="WIH32" s="17"/>
      <c r="WII32" s="17"/>
      <c r="WIJ32" s="17"/>
      <c r="WIK32" s="17"/>
      <c r="WIL32" s="17"/>
      <c r="WIM32" s="17"/>
      <c r="WIN32" s="17"/>
      <c r="WIO32" s="17"/>
      <c r="WIP32" s="17"/>
      <c r="WIQ32" s="17"/>
      <c r="WIR32" s="17"/>
      <c r="WIS32" s="17"/>
      <c r="WIT32" s="17"/>
      <c r="WIU32" s="17"/>
      <c r="WIV32" s="17"/>
      <c r="WIW32" s="17"/>
      <c r="WIX32" s="17"/>
      <c r="WIY32" s="17"/>
      <c r="WIZ32" s="17"/>
      <c r="WJA32" s="17"/>
      <c r="WJB32" s="17"/>
      <c r="WJC32" s="17"/>
      <c r="WJD32" s="17"/>
      <c r="WJE32" s="17"/>
      <c r="WJF32" s="17"/>
      <c r="WJG32" s="17"/>
      <c r="WJH32" s="17"/>
      <c r="WJI32" s="17"/>
      <c r="WJJ32" s="17"/>
      <c r="WJK32" s="17"/>
      <c r="WJL32" s="17"/>
      <c r="WJM32" s="17"/>
      <c r="WJN32" s="17"/>
      <c r="WJO32" s="17"/>
      <c r="WJP32" s="17"/>
      <c r="WJQ32" s="17"/>
      <c r="WJR32" s="17"/>
      <c r="WJS32" s="17"/>
      <c r="WJT32" s="17"/>
      <c r="WJU32" s="17"/>
      <c r="WJV32" s="17"/>
      <c r="WJW32" s="17"/>
      <c r="WJX32" s="17"/>
      <c r="WJY32" s="17"/>
      <c r="WJZ32" s="17"/>
      <c r="WKA32" s="17"/>
      <c r="WKB32" s="17"/>
      <c r="WKC32" s="17"/>
      <c r="WKD32" s="17"/>
      <c r="WKE32" s="17"/>
      <c r="WKF32" s="17"/>
      <c r="WKG32" s="17"/>
      <c r="WKH32" s="17"/>
      <c r="WKI32" s="17"/>
      <c r="WKJ32" s="17"/>
      <c r="WKK32" s="17"/>
      <c r="WKL32" s="17"/>
      <c r="WKM32" s="17"/>
      <c r="WKN32" s="17"/>
      <c r="WKO32" s="17"/>
      <c r="WKP32" s="17"/>
      <c r="WKQ32" s="17"/>
      <c r="WKR32" s="17"/>
      <c r="WKS32" s="17"/>
      <c r="WKT32" s="17"/>
      <c r="WKU32" s="17"/>
      <c r="WKV32" s="17"/>
      <c r="WKW32" s="17"/>
      <c r="WKX32" s="17"/>
      <c r="WKY32" s="17"/>
      <c r="WKZ32" s="17"/>
      <c r="WLA32" s="17"/>
      <c r="WLB32" s="17"/>
      <c r="WLC32" s="17"/>
      <c r="WLD32" s="17"/>
      <c r="WLE32" s="17"/>
      <c r="WLF32" s="17"/>
      <c r="WLG32" s="17"/>
      <c r="WLH32" s="17"/>
      <c r="WLI32" s="17"/>
      <c r="WLJ32" s="17"/>
      <c r="WLK32" s="17"/>
      <c r="WLL32" s="17"/>
      <c r="WLM32" s="17"/>
      <c r="WLN32" s="17"/>
      <c r="WLO32" s="17"/>
      <c r="WLP32" s="17"/>
      <c r="WLQ32" s="17"/>
      <c r="WLR32" s="17"/>
      <c r="WLS32" s="17"/>
      <c r="WLT32" s="17"/>
      <c r="WLU32" s="17"/>
      <c r="WLV32" s="17"/>
      <c r="WLW32" s="17"/>
      <c r="WLX32" s="17"/>
      <c r="WLY32" s="17"/>
      <c r="WLZ32" s="17"/>
      <c r="WMA32" s="17"/>
      <c r="WMB32" s="17"/>
      <c r="WMC32" s="17"/>
      <c r="WMD32" s="17"/>
      <c r="WME32" s="17"/>
      <c r="WMF32" s="17"/>
      <c r="WMG32" s="17"/>
      <c r="WMH32" s="17"/>
      <c r="WMI32" s="17"/>
      <c r="WMJ32" s="17"/>
      <c r="WMK32" s="17"/>
      <c r="WML32" s="17"/>
      <c r="WMM32" s="17"/>
      <c r="WMN32" s="17"/>
      <c r="WMO32" s="17"/>
      <c r="WMP32" s="17"/>
      <c r="WMQ32" s="17"/>
      <c r="WMR32" s="17"/>
      <c r="WMS32" s="17"/>
      <c r="WMT32" s="17"/>
      <c r="WMU32" s="17"/>
      <c r="WMV32" s="17"/>
      <c r="WMW32" s="17"/>
      <c r="WMX32" s="17"/>
      <c r="WMY32" s="17"/>
      <c r="WMZ32" s="17"/>
      <c r="WNA32" s="17"/>
      <c r="WNB32" s="17"/>
      <c r="WNC32" s="17"/>
      <c r="WND32" s="17"/>
      <c r="WNE32" s="17"/>
      <c r="WNF32" s="17"/>
      <c r="WNG32" s="17"/>
      <c r="WNH32" s="17"/>
      <c r="WNI32" s="17"/>
      <c r="WNJ32" s="17"/>
      <c r="WNK32" s="17"/>
      <c r="WNL32" s="17"/>
      <c r="WNM32" s="17"/>
      <c r="WNN32" s="17"/>
      <c r="WNO32" s="17"/>
      <c r="WNP32" s="17"/>
      <c r="WNQ32" s="17"/>
      <c r="WNR32" s="17"/>
      <c r="WNS32" s="17"/>
      <c r="WNT32" s="17"/>
      <c r="WNU32" s="17"/>
      <c r="WNV32" s="17"/>
      <c r="WNW32" s="17"/>
      <c r="WNX32" s="17"/>
      <c r="WNY32" s="17"/>
      <c r="WNZ32" s="17"/>
      <c r="WOA32" s="17"/>
      <c r="WOB32" s="17"/>
      <c r="WOC32" s="17"/>
      <c r="WOD32" s="17"/>
      <c r="WOE32" s="17"/>
      <c r="WOF32" s="17"/>
      <c r="WOG32" s="17"/>
      <c r="WOH32" s="17"/>
      <c r="WOI32" s="17"/>
      <c r="WOJ32" s="17"/>
      <c r="WOK32" s="17"/>
      <c r="WOL32" s="17"/>
      <c r="WOM32" s="17"/>
      <c r="WON32" s="17"/>
      <c r="WOO32" s="17"/>
      <c r="WOP32" s="17"/>
      <c r="WOQ32" s="17"/>
      <c r="WOR32" s="17"/>
      <c r="WOS32" s="17"/>
      <c r="WOT32" s="17"/>
      <c r="WOU32" s="17"/>
      <c r="WOV32" s="17"/>
      <c r="WOW32" s="17"/>
      <c r="WOX32" s="17"/>
      <c r="WOY32" s="17"/>
      <c r="WOZ32" s="17"/>
      <c r="WPA32" s="17"/>
      <c r="WPB32" s="17"/>
      <c r="WPC32" s="17"/>
      <c r="WPD32" s="17"/>
      <c r="WPE32" s="17"/>
      <c r="WPF32" s="17"/>
      <c r="WPG32" s="17"/>
      <c r="WPH32" s="17"/>
      <c r="WPI32" s="17"/>
      <c r="WPJ32" s="17"/>
      <c r="WPK32" s="17"/>
      <c r="WPL32" s="17"/>
      <c r="WPM32" s="17"/>
      <c r="WPN32" s="17"/>
      <c r="WPO32" s="17"/>
      <c r="WPP32" s="17"/>
      <c r="WPQ32" s="17"/>
      <c r="WPR32" s="17"/>
      <c r="WPS32" s="17"/>
      <c r="WPT32" s="17"/>
      <c r="WPU32" s="17"/>
      <c r="WPV32" s="17"/>
      <c r="WPW32" s="17"/>
      <c r="WPX32" s="17"/>
      <c r="WPY32" s="17"/>
      <c r="WPZ32" s="17"/>
      <c r="WQA32" s="17"/>
      <c r="WQB32" s="17"/>
      <c r="WQC32" s="17"/>
      <c r="WQD32" s="17"/>
      <c r="WQE32" s="17"/>
      <c r="WQF32" s="17"/>
      <c r="WQG32" s="17"/>
      <c r="WQH32" s="17"/>
      <c r="WQI32" s="17"/>
      <c r="WQJ32" s="17"/>
      <c r="WQK32" s="17"/>
      <c r="WQL32" s="17"/>
      <c r="WQM32" s="17"/>
      <c r="WQN32" s="17"/>
      <c r="WQO32" s="17"/>
      <c r="WQP32" s="17"/>
      <c r="WQQ32" s="17"/>
      <c r="WQR32" s="17"/>
      <c r="WQS32" s="17"/>
      <c r="WQT32" s="17"/>
      <c r="WQU32" s="17"/>
      <c r="WQV32" s="17"/>
      <c r="WQW32" s="17"/>
      <c r="WQX32" s="17"/>
      <c r="WQY32" s="17"/>
      <c r="WQZ32" s="17"/>
      <c r="WRA32" s="17"/>
      <c r="WRB32" s="17"/>
      <c r="WRC32" s="17"/>
      <c r="WRD32" s="17"/>
      <c r="WRE32" s="17"/>
      <c r="WRF32" s="17"/>
      <c r="WRG32" s="17"/>
      <c r="WRH32" s="17"/>
      <c r="WRI32" s="17"/>
      <c r="WRJ32" s="17"/>
      <c r="WRK32" s="17"/>
      <c r="WRL32" s="17"/>
      <c r="WRM32" s="17"/>
      <c r="WRN32" s="17"/>
      <c r="WRO32" s="17"/>
      <c r="WRP32" s="17"/>
      <c r="WRQ32" s="17"/>
      <c r="WRR32" s="17"/>
      <c r="WRS32" s="17"/>
      <c r="WRT32" s="17"/>
      <c r="WRU32" s="17"/>
      <c r="WRV32" s="17"/>
      <c r="WRW32" s="17"/>
      <c r="WRX32" s="17"/>
      <c r="WRY32" s="17"/>
      <c r="WRZ32" s="17"/>
      <c r="WSA32" s="17"/>
      <c r="WSB32" s="17"/>
      <c r="WSC32" s="17"/>
      <c r="WSD32" s="17"/>
      <c r="WSE32" s="17"/>
      <c r="WSF32" s="17"/>
      <c r="WSG32" s="17"/>
      <c r="WSH32" s="17"/>
      <c r="WSI32" s="17"/>
      <c r="WSJ32" s="17"/>
      <c r="WSK32" s="17"/>
      <c r="WSL32" s="17"/>
      <c r="WSM32" s="17"/>
      <c r="WSN32" s="17"/>
      <c r="WSO32" s="17"/>
      <c r="WSP32" s="17"/>
      <c r="WSQ32" s="17"/>
      <c r="WSR32" s="17"/>
      <c r="WSS32" s="17"/>
      <c r="WST32" s="17"/>
      <c r="WSU32" s="17"/>
      <c r="WSV32" s="17"/>
      <c r="WSW32" s="17"/>
      <c r="WSX32" s="17"/>
      <c r="WSY32" s="17"/>
      <c r="WSZ32" s="17"/>
      <c r="WTA32" s="17"/>
      <c r="WTB32" s="17"/>
      <c r="WTC32" s="17"/>
      <c r="WTD32" s="17"/>
      <c r="WTE32" s="17"/>
      <c r="WTF32" s="17"/>
      <c r="WTG32" s="17"/>
      <c r="WTH32" s="17"/>
      <c r="WTI32" s="17"/>
      <c r="WTJ32" s="17"/>
      <c r="WTK32" s="17"/>
      <c r="WTL32" s="17"/>
      <c r="WTM32" s="17"/>
      <c r="WTN32" s="17"/>
      <c r="WTO32" s="17"/>
      <c r="WTP32" s="17"/>
      <c r="WTQ32" s="17"/>
      <c r="WTR32" s="17"/>
      <c r="WTS32" s="17"/>
      <c r="WTT32" s="17"/>
      <c r="WTU32" s="17"/>
      <c r="WTV32" s="17"/>
      <c r="WTW32" s="17"/>
      <c r="WTX32" s="17"/>
      <c r="WTY32" s="17"/>
      <c r="WTZ32" s="17"/>
      <c r="WUA32" s="17"/>
      <c r="WUB32" s="17"/>
      <c r="WUC32" s="17"/>
      <c r="WUD32" s="17"/>
      <c r="WUE32" s="17"/>
      <c r="WUF32" s="17"/>
      <c r="WUG32" s="17"/>
      <c r="WUH32" s="17"/>
      <c r="WUI32" s="17"/>
      <c r="WUJ32" s="17"/>
      <c r="WUK32" s="17"/>
      <c r="WUL32" s="17"/>
      <c r="WUM32" s="17"/>
      <c r="WUN32" s="17"/>
      <c r="WUO32" s="17"/>
      <c r="WUP32" s="17"/>
      <c r="WUQ32" s="17"/>
      <c r="WUR32" s="17"/>
      <c r="WUS32" s="17"/>
      <c r="WUT32" s="17"/>
      <c r="WUU32" s="17"/>
      <c r="WUV32" s="17"/>
      <c r="WUW32" s="17"/>
      <c r="WUX32" s="17"/>
      <c r="WUY32" s="17"/>
      <c r="WUZ32" s="17"/>
      <c r="WVA32" s="17"/>
      <c r="WVB32" s="17"/>
      <c r="WVC32" s="17"/>
      <c r="WVD32" s="17"/>
      <c r="WVE32" s="17"/>
      <c r="WVF32" s="17"/>
      <c r="WVG32" s="17"/>
      <c r="WVH32" s="17"/>
      <c r="WVI32" s="17"/>
      <c r="WVJ32" s="17"/>
      <c r="WVK32" s="17"/>
      <c r="WVL32" s="17"/>
      <c r="WVM32" s="17"/>
      <c r="WVN32" s="17"/>
      <c r="WVO32" s="17"/>
      <c r="WVP32" s="17"/>
      <c r="WVQ32" s="17"/>
      <c r="WVR32" s="17"/>
      <c r="WVS32" s="17"/>
      <c r="WVT32" s="17"/>
      <c r="WVU32" s="17"/>
      <c r="WVV32" s="17"/>
      <c r="WVW32" s="17"/>
      <c r="WVX32" s="17"/>
      <c r="WVY32" s="17"/>
      <c r="WVZ32" s="17"/>
      <c r="WWA32" s="17"/>
      <c r="WWB32" s="17"/>
      <c r="WWC32" s="17"/>
      <c r="WWD32" s="17"/>
      <c r="WWE32" s="17"/>
      <c r="WWF32" s="17"/>
      <c r="WWG32" s="17"/>
      <c r="WWH32" s="17"/>
      <c r="WWI32" s="17"/>
      <c r="WWJ32" s="17"/>
      <c r="WWK32" s="17"/>
      <c r="WWL32" s="17"/>
      <c r="WWM32" s="17"/>
      <c r="WWN32" s="17"/>
      <c r="WWO32" s="17"/>
      <c r="WWP32" s="17"/>
      <c r="WWQ32" s="17"/>
      <c r="WWR32" s="17"/>
      <c r="WWS32" s="17"/>
      <c r="WWT32" s="17"/>
      <c r="WWU32" s="17"/>
      <c r="WWV32" s="17"/>
      <c r="WWW32" s="17"/>
      <c r="WWX32" s="17"/>
      <c r="WWY32" s="17"/>
      <c r="WWZ32" s="17"/>
      <c r="WXA32" s="17"/>
      <c r="WXB32" s="17"/>
      <c r="WXC32" s="17"/>
      <c r="WXD32" s="17"/>
      <c r="WXE32" s="17"/>
      <c r="WXF32" s="17"/>
      <c r="WXG32" s="17"/>
      <c r="WXH32" s="17"/>
      <c r="WXI32" s="17"/>
      <c r="WXJ32" s="17"/>
      <c r="WXK32" s="17"/>
      <c r="WXL32" s="17"/>
      <c r="WXM32" s="17"/>
      <c r="WXN32" s="17"/>
      <c r="WXO32" s="17"/>
      <c r="WXP32" s="17"/>
      <c r="WXQ32" s="17"/>
      <c r="WXR32" s="17"/>
      <c r="WXS32" s="17"/>
      <c r="WXT32" s="17"/>
      <c r="WXU32" s="17"/>
      <c r="WXV32" s="17"/>
      <c r="WXW32" s="17"/>
      <c r="WXX32" s="17"/>
      <c r="WXY32" s="17"/>
      <c r="WXZ32" s="17"/>
      <c r="WYA32" s="17"/>
      <c r="WYB32" s="17"/>
      <c r="WYC32" s="17"/>
      <c r="WYD32" s="17"/>
      <c r="WYE32" s="17"/>
      <c r="WYF32" s="17"/>
      <c r="WYG32" s="17"/>
      <c r="WYH32" s="17"/>
      <c r="WYI32" s="17"/>
      <c r="WYJ32" s="17"/>
      <c r="WYK32" s="17"/>
      <c r="WYL32" s="17"/>
      <c r="WYM32" s="17"/>
      <c r="WYN32" s="17"/>
      <c r="WYO32" s="17"/>
      <c r="WYP32" s="17"/>
      <c r="WYQ32" s="17"/>
      <c r="WYR32" s="17"/>
      <c r="WYS32" s="17"/>
      <c r="WYT32" s="17"/>
      <c r="WYU32" s="17"/>
      <c r="WYV32" s="17"/>
      <c r="WYW32" s="17"/>
      <c r="WYX32" s="17"/>
      <c r="WYY32" s="17"/>
      <c r="WYZ32" s="17"/>
      <c r="WZA32" s="17"/>
      <c r="WZB32" s="17"/>
      <c r="WZC32" s="17"/>
      <c r="WZD32" s="17"/>
      <c r="WZE32" s="17"/>
      <c r="WZF32" s="17"/>
      <c r="WZG32" s="17"/>
      <c r="WZH32" s="17"/>
      <c r="WZI32" s="17"/>
      <c r="WZJ32" s="17"/>
      <c r="WZK32" s="17"/>
      <c r="WZL32" s="17"/>
      <c r="WZM32" s="17"/>
      <c r="WZN32" s="17"/>
      <c r="WZO32" s="17"/>
      <c r="WZP32" s="17"/>
      <c r="WZQ32" s="17"/>
      <c r="WZR32" s="17"/>
      <c r="WZS32" s="17"/>
      <c r="WZT32" s="17"/>
      <c r="WZU32" s="17"/>
      <c r="WZV32" s="17"/>
      <c r="WZW32" s="17"/>
      <c r="WZX32" s="17"/>
      <c r="WZY32" s="17"/>
      <c r="WZZ32" s="17"/>
      <c r="XAA32" s="17"/>
      <c r="XAB32" s="17"/>
      <c r="XAC32" s="17"/>
      <c r="XAD32" s="17"/>
      <c r="XAE32" s="17"/>
      <c r="XAF32" s="17"/>
      <c r="XAG32" s="17"/>
      <c r="XAH32" s="17"/>
      <c r="XAI32" s="17"/>
      <c r="XAJ32" s="17"/>
      <c r="XAK32" s="17"/>
      <c r="XAL32" s="17"/>
      <c r="XAM32" s="17"/>
      <c r="XAN32" s="17"/>
      <c r="XAO32" s="17"/>
      <c r="XAP32" s="17"/>
      <c r="XAQ32" s="17"/>
      <c r="XAR32" s="17"/>
      <c r="XAS32" s="17"/>
      <c r="XAT32" s="17"/>
      <c r="XAU32" s="17"/>
      <c r="XAV32" s="17"/>
      <c r="XAW32" s="17"/>
      <c r="XAX32" s="17"/>
      <c r="XAY32" s="17"/>
      <c r="XAZ32" s="17"/>
      <c r="XBA32" s="17"/>
      <c r="XBB32" s="17"/>
      <c r="XBC32" s="17"/>
      <c r="XBD32" s="17"/>
      <c r="XBE32" s="17"/>
      <c r="XBF32" s="17"/>
      <c r="XBG32" s="17"/>
      <c r="XBH32" s="17"/>
      <c r="XBI32" s="17"/>
      <c r="XBJ32" s="17"/>
      <c r="XBK32" s="17"/>
      <c r="XBL32" s="17"/>
      <c r="XBM32" s="17"/>
      <c r="XBN32" s="17"/>
      <c r="XBO32" s="17"/>
      <c r="XBP32" s="17"/>
      <c r="XBQ32" s="17"/>
      <c r="XBR32" s="17"/>
      <c r="XBS32" s="17"/>
      <c r="XBT32" s="17"/>
      <c r="XBU32" s="17"/>
      <c r="XBV32" s="17"/>
      <c r="XBW32" s="17"/>
      <c r="XBX32" s="17"/>
      <c r="XBY32" s="17"/>
      <c r="XBZ32" s="17"/>
      <c r="XCA32" s="17"/>
      <c r="XCB32" s="17"/>
      <c r="XCC32" s="17"/>
      <c r="XCD32" s="17"/>
      <c r="XCE32" s="17"/>
      <c r="XCF32" s="17"/>
      <c r="XCG32" s="17"/>
      <c r="XCH32" s="17"/>
      <c r="XCI32" s="17"/>
      <c r="XCJ32" s="17"/>
      <c r="XCK32" s="17"/>
      <c r="XCL32" s="17"/>
      <c r="XCM32" s="17"/>
      <c r="XCN32" s="17"/>
      <c r="XCO32" s="17"/>
      <c r="XCP32" s="17"/>
      <c r="XCQ32" s="17"/>
      <c r="XCR32" s="17"/>
      <c r="XCS32" s="17"/>
      <c r="XCT32" s="17"/>
      <c r="XCU32" s="17"/>
      <c r="XCV32" s="17"/>
      <c r="XCW32" s="17"/>
      <c r="XCX32" s="17"/>
      <c r="XCY32" s="17"/>
      <c r="XCZ32" s="17"/>
      <c r="XDA32" s="17"/>
      <c r="XDB32" s="17"/>
      <c r="XDC32" s="17"/>
      <c r="XDD32" s="17"/>
      <c r="XDE32" s="17"/>
      <c r="XDF32" s="17"/>
      <c r="XDG32" s="17"/>
      <c r="XDH32" s="17"/>
      <c r="XDI32" s="17"/>
      <c r="XDJ32" s="17"/>
      <c r="XDK32" s="17"/>
      <c r="XDL32" s="17"/>
      <c r="XDM32" s="17"/>
      <c r="XDN32" s="17"/>
      <c r="XDO32" s="17"/>
      <c r="XDP32" s="17"/>
      <c r="XDQ32" s="17"/>
      <c r="XDR32" s="17"/>
      <c r="XDS32" s="17"/>
      <c r="XDT32" s="17"/>
      <c r="XDU32" s="17"/>
      <c r="XDV32" s="17"/>
      <c r="XDW32" s="17"/>
      <c r="XDX32" s="17"/>
      <c r="XDY32" s="17"/>
      <c r="XDZ32" s="17"/>
      <c r="XEA32" s="17"/>
      <c r="XEB32" s="17"/>
      <c r="XEC32" s="17"/>
      <c r="XED32" s="17"/>
      <c r="XEE32" s="17"/>
      <c r="XEF32" s="17"/>
      <c r="XEG32" s="17"/>
      <c r="XEH32" s="17"/>
      <c r="XEI32" s="17"/>
      <c r="XEJ32" s="17"/>
      <c r="XEK32" s="17"/>
      <c r="XEL32" s="17"/>
      <c r="XEM32" s="17"/>
      <c r="XEN32" s="17"/>
      <c r="XEO32" s="17"/>
      <c r="XEP32" s="17"/>
      <c r="XEQ32" s="17"/>
      <c r="XER32" s="17"/>
      <c r="XES32" s="17"/>
      <c r="XET32" s="17"/>
      <c r="XEU32" s="17"/>
      <c r="XEV32" s="17"/>
      <c r="XEW32" s="17"/>
      <c r="XEX32" s="17"/>
      <c r="XEY32" s="17"/>
      <c r="XEZ32" s="17"/>
      <c r="XFA32" s="17"/>
      <c r="XFB32" s="17"/>
      <c r="XFC32" s="17"/>
      <c r="XFD32" s="17"/>
    </row>
    <row r="34" spans="2:9" x14ac:dyDescent="0.25">
      <c r="B34" s="37" t="s">
        <v>1167</v>
      </c>
      <c r="C34" s="20" t="s">
        <v>58</v>
      </c>
      <c r="D34" s="34" t="s">
        <v>8</v>
      </c>
      <c r="E34" s="35" t="s">
        <v>0</v>
      </c>
      <c r="F34" s="34" t="s">
        <v>9</v>
      </c>
      <c r="G34" s="34" t="s">
        <v>1</v>
      </c>
      <c r="H34" s="36" t="s">
        <v>28</v>
      </c>
      <c r="I34" s="102" t="s">
        <v>1287</v>
      </c>
    </row>
    <row r="35" spans="2:9" x14ac:dyDescent="0.25">
      <c r="B35" s="38" t="s">
        <v>1000</v>
      </c>
      <c r="C35" s="75" t="s">
        <v>998</v>
      </c>
      <c r="D35" s="15" t="s">
        <v>565</v>
      </c>
      <c r="E35" s="25">
        <f>VALUE(SUMIFS(Tabela4[Estoque disponível],Tabela4[Material],'Ressuprimento 1'!C35))</f>
        <v>54.36</v>
      </c>
      <c r="F35" s="26">
        <v>18</v>
      </c>
      <c r="G35" s="27"/>
      <c r="H35" s="70"/>
      <c r="I35" s="101">
        <f>SUMIFS(Tabela1[Estoque disponível],Tabela1[Posição no depósito],Tabela2[[#This Row],[Prox/Atual]],Tabela1[Lote],Tabela2[[#This Row],[Lote]])</f>
        <v>0</v>
      </c>
    </row>
    <row r="36" spans="2:9" x14ac:dyDescent="0.25">
      <c r="B36" s="38" t="s">
        <v>1001</v>
      </c>
      <c r="C36" s="75">
        <v>5053130700000700</v>
      </c>
      <c r="D36" s="15" t="s">
        <v>470</v>
      </c>
      <c r="E36" s="25">
        <f>VALUE(SUMIFS(Tabela4[Estoque disponível],Tabela4[Material],'Ressuprimento 1'!C36))</f>
        <v>92.16</v>
      </c>
      <c r="F36" s="26">
        <v>18</v>
      </c>
      <c r="G36" s="27"/>
      <c r="H36" s="70"/>
      <c r="I36" s="101">
        <f>SUMIFS(Tabela1[Estoque disponível],Tabela1[Posição no depósito],Tabela2[[#This Row],[Prox/Atual]],Tabela1[Lote],Tabela2[[#This Row],[Lote]])</f>
        <v>0</v>
      </c>
    </row>
    <row r="37" spans="2:9" x14ac:dyDescent="0.25">
      <c r="B37" s="38" t="s">
        <v>41</v>
      </c>
      <c r="C37" s="75">
        <v>5053135000010700</v>
      </c>
      <c r="D37" s="15" t="s">
        <v>40</v>
      </c>
      <c r="E37" s="25">
        <f>VALUE(SUMIFS(Tabela4[Estoque disponível],Tabela4[Material],'Ressuprimento 1'!C37))</f>
        <v>53.28</v>
      </c>
      <c r="F37" s="26">
        <v>18</v>
      </c>
      <c r="G37" s="27"/>
      <c r="H37" s="70"/>
      <c r="I37" s="101">
        <f>SUMIFS(Tabela1[Estoque disponível],Tabela1[Posição no depósito],Tabela2[[#This Row],[Prox/Atual]],Tabela1[Lote],Tabela2[[#This Row],[Lote]])</f>
        <v>0</v>
      </c>
    </row>
    <row r="38" spans="2:9" x14ac:dyDescent="0.25">
      <c r="B38" s="38" t="s">
        <v>1002</v>
      </c>
      <c r="C38" s="75" t="s">
        <v>348</v>
      </c>
      <c r="D38" s="15" t="s">
        <v>349</v>
      </c>
      <c r="E38" s="25">
        <f>VALUE(SUMIFS(Tabela4[Estoque disponível],Tabela4[Material],'Ressuprimento 1'!C38))</f>
        <v>25.92</v>
      </c>
      <c r="F38" s="26">
        <v>18</v>
      </c>
      <c r="G38" s="27"/>
      <c r="H38" s="70"/>
      <c r="I38" s="101">
        <f>SUMIFS(Tabela1[Estoque disponível],Tabela1[Posição no depósito],Tabela2[[#This Row],[Prox/Atual]],Tabela1[Lote],Tabela2[[#This Row],[Lote]])</f>
        <v>0</v>
      </c>
    </row>
    <row r="39" spans="2:9" x14ac:dyDescent="0.25">
      <c r="B39" s="38" t="s">
        <v>1003</v>
      </c>
      <c r="C39" s="75" t="s">
        <v>465</v>
      </c>
      <c r="D39" s="15" t="s">
        <v>462</v>
      </c>
      <c r="E39" s="25">
        <f>VALUE(SUMIFS(Tabela4[Estoque disponível],Tabela4[Material],'Ressuprimento 1'!C39))</f>
        <v>71.64</v>
      </c>
      <c r="F39" s="26">
        <v>18</v>
      </c>
      <c r="G39" s="27"/>
      <c r="H39" s="70"/>
      <c r="I39" s="101">
        <f>SUMIFS(Tabela1[Estoque disponível],Tabela1[Posição no depósito],Tabela2[[#This Row],[Prox/Atual]],Tabela1[Lote],Tabela2[[#This Row],[Lote]])</f>
        <v>0</v>
      </c>
    </row>
    <row r="40" spans="2:9" x14ac:dyDescent="0.25">
      <c r="B40" s="38" t="s">
        <v>1004</v>
      </c>
      <c r="C40" s="75" t="s">
        <v>530</v>
      </c>
      <c r="D40" s="15" t="s">
        <v>531</v>
      </c>
      <c r="E40" s="25">
        <f>VALUE(SUMIFS(Tabela4[Estoque disponível],Tabela4[Material],'Ressuprimento 1'!C40))</f>
        <v>41.4</v>
      </c>
      <c r="F40" s="26">
        <v>18</v>
      </c>
      <c r="G40" s="27"/>
      <c r="H40" s="70"/>
      <c r="I40" s="101">
        <f>SUMIFS(Tabela1[Estoque disponível],Tabela1[Posição no depósito],Tabela2[[#This Row],[Prox/Atual]],Tabela1[Lote],Tabela2[[#This Row],[Lote]])</f>
        <v>0</v>
      </c>
    </row>
    <row r="41" spans="2:9" x14ac:dyDescent="0.25">
      <c r="B41" s="38" t="s">
        <v>1005</v>
      </c>
      <c r="C41" s="75" t="s">
        <v>412</v>
      </c>
      <c r="D41" s="15" t="s">
        <v>414</v>
      </c>
      <c r="E41" s="25">
        <f>VALUE(SUMIFS(Tabela4[Estoque disponível],Tabela4[Material],'Ressuprimento 1'!C41))</f>
        <v>29.88</v>
      </c>
      <c r="F41" s="26">
        <v>18</v>
      </c>
      <c r="G41" s="27"/>
      <c r="H41" s="70"/>
      <c r="I41" s="101">
        <f>SUMIFS(Tabela1[Estoque disponível],Tabela1[Posição no depósito],Tabela2[[#This Row],[Prox/Atual]],Tabela1[Lote],Tabela2[[#This Row],[Lote]])</f>
        <v>0</v>
      </c>
    </row>
    <row r="42" spans="2:9" x14ac:dyDescent="0.25">
      <c r="B42" s="38" t="s">
        <v>1007</v>
      </c>
      <c r="C42" s="75" t="s">
        <v>577</v>
      </c>
      <c r="D42" s="15" t="s">
        <v>579</v>
      </c>
      <c r="E42" s="25">
        <f>VALUE(SUMIFS(Tabela4[Estoque disponível],Tabela4[Material],'Ressuprimento 1'!C42))</f>
        <v>20.88</v>
      </c>
      <c r="F42" s="26">
        <v>18</v>
      </c>
      <c r="G42" s="27"/>
      <c r="H42" s="70"/>
      <c r="I42" s="101">
        <f>SUMIFS(Tabela1[Estoque disponível],Tabela1[Posição no depósito],Tabela2[[#This Row],[Prox/Atual]],Tabela1[Lote],Tabela2[[#This Row],[Lote]])</f>
        <v>0</v>
      </c>
    </row>
    <row r="43" spans="2:9" x14ac:dyDescent="0.25">
      <c r="B43" s="38" t="s">
        <v>1008</v>
      </c>
      <c r="C43" s="75" t="s">
        <v>545</v>
      </c>
      <c r="D43" s="15" t="s">
        <v>32</v>
      </c>
      <c r="E43" s="25">
        <f>VALUE(SUMIFS(Tabela4[Estoque disponível],Tabela4[Material],'Ressuprimento 1'!C43))</f>
        <v>93.6</v>
      </c>
      <c r="F43" s="26">
        <v>18</v>
      </c>
      <c r="G43" s="27"/>
      <c r="H43" s="70"/>
      <c r="I43" s="101">
        <f>SUMIFS(Tabela1[Estoque disponível],Tabela1[Posição no depósito],Tabela2[[#This Row],[Prox/Atual]],Tabela1[Lote],Tabela2[[#This Row],[Lote]])</f>
        <v>0</v>
      </c>
    </row>
    <row r="44" spans="2:9" x14ac:dyDescent="0.25">
      <c r="B44" s="38" t="s">
        <v>1009</v>
      </c>
      <c r="C44" s="75" t="s">
        <v>385</v>
      </c>
      <c r="D44" s="15" t="s">
        <v>26</v>
      </c>
      <c r="E44" s="25">
        <f>VALUE(SUMIFS(Tabela4[Estoque disponível],Tabela4[Material],'Ressuprimento 1'!C44))</f>
        <v>78.84</v>
      </c>
      <c r="F44" s="26">
        <v>18</v>
      </c>
      <c r="G44" s="27"/>
      <c r="H44" s="70"/>
      <c r="I44" s="101">
        <f>SUMIFS(Tabela1[Estoque disponível],Tabela1[Posição no depósito],Tabela2[[#This Row],[Prox/Atual]],Tabela1[Lote],Tabela2[[#This Row],[Lote]])</f>
        <v>0</v>
      </c>
    </row>
    <row r="45" spans="2:9" x14ac:dyDescent="0.25">
      <c r="B45" s="38" t="s">
        <v>1010</v>
      </c>
      <c r="C45" s="75" t="s">
        <v>664</v>
      </c>
      <c r="D45" s="15" t="s">
        <v>35</v>
      </c>
      <c r="E45" s="25">
        <f>VALUE(SUMIFS(Tabela4[Estoque disponível],Tabela4[Material],'Ressuprimento 1'!C45))</f>
        <v>64.8</v>
      </c>
      <c r="F45" s="26">
        <v>18</v>
      </c>
      <c r="G45" s="27"/>
      <c r="H45" s="70"/>
      <c r="I45" s="101">
        <f>SUMIFS(Tabela1[Estoque disponível],Tabela1[Posição no depósito],Tabela2[[#This Row],[Prox/Atual]],Tabela1[Lote],Tabela2[[#This Row],[Lote]])</f>
        <v>0</v>
      </c>
    </row>
    <row r="46" spans="2:9" x14ac:dyDescent="0.25">
      <c r="B46" s="38" t="s">
        <v>1011</v>
      </c>
      <c r="C46" s="75" t="s">
        <v>438</v>
      </c>
      <c r="D46" s="15" t="s">
        <v>440</v>
      </c>
      <c r="E46" s="25">
        <f>VALUE(SUMIFS(Tabela4[Estoque disponível],Tabela4[Material],'Ressuprimento 1'!C46))</f>
        <v>99.36</v>
      </c>
      <c r="F46" s="26">
        <v>18</v>
      </c>
      <c r="G46" s="27"/>
      <c r="H46" s="70"/>
      <c r="I46" s="101">
        <f>SUMIFS(Tabela1[Estoque disponível],Tabela1[Posição no depósito],Tabela2[[#This Row],[Prox/Atual]],Tabela1[Lote],Tabela2[[#This Row],[Lote]])</f>
        <v>0</v>
      </c>
    </row>
    <row r="47" spans="2:9" x14ac:dyDescent="0.25">
      <c r="B47" s="38" t="s">
        <v>1012</v>
      </c>
      <c r="C47" s="75" t="s">
        <v>304</v>
      </c>
      <c r="D47" s="15" t="s">
        <v>299</v>
      </c>
      <c r="E47" s="25">
        <f>VALUE(SUMIFS(Tabela4[Estoque disponível],Tabela4[Material],'Ressuprimento 1'!C47))</f>
        <v>87.48</v>
      </c>
      <c r="F47" s="26">
        <v>18</v>
      </c>
      <c r="G47" s="27"/>
      <c r="H47" s="70"/>
      <c r="I47" s="101">
        <f>SUMIFS(Tabela1[Estoque disponível],Tabela1[Posição no depósito],Tabela2[[#This Row],[Prox/Atual]],Tabela1[Lote],Tabela2[[#This Row],[Lote]])</f>
        <v>0</v>
      </c>
    </row>
    <row r="48" spans="2:9" x14ac:dyDescent="0.25">
      <c r="B48" s="38" t="s">
        <v>1013</v>
      </c>
      <c r="C48" s="75" t="s">
        <v>395</v>
      </c>
      <c r="D48" s="15" t="s">
        <v>47</v>
      </c>
      <c r="E48" s="25">
        <f>VALUE(SUMIFS(Tabela4[Estoque disponível],Tabela4[Material],'Ressuprimento 1'!C48))</f>
        <v>142.91999999999999</v>
      </c>
      <c r="F48" s="26">
        <v>18</v>
      </c>
      <c r="G48" s="27"/>
      <c r="H48" s="70"/>
      <c r="I48" s="101">
        <f>SUMIFS(Tabela1[Estoque disponível],Tabela1[Posição no depósito],Tabela2[[#This Row],[Prox/Atual]],Tabela1[Lote],Tabela2[[#This Row],[Lote]])</f>
        <v>0</v>
      </c>
    </row>
    <row r="49" spans="2:9" x14ac:dyDescent="0.25">
      <c r="B49" s="38" t="s">
        <v>43</v>
      </c>
      <c r="C49" s="75">
        <v>5053134900010700</v>
      </c>
      <c r="D49" s="15" t="s">
        <v>44</v>
      </c>
      <c r="E49" s="25">
        <f>VALUE(SUMIFS(Tabela4[Estoque disponível],Tabela4[Material],'Ressuprimento 1'!C49))</f>
        <v>20.88</v>
      </c>
      <c r="F49" s="26">
        <v>18</v>
      </c>
      <c r="G49" s="27"/>
      <c r="H49" s="70"/>
      <c r="I49" s="101">
        <f>SUMIFS(Tabela1[Estoque disponível],Tabela1[Posição no depósito],Tabela2[[#This Row],[Prox/Atual]],Tabela1[Lote],Tabela2[[#This Row],[Lote]])</f>
        <v>0</v>
      </c>
    </row>
    <row r="50" spans="2:9" x14ac:dyDescent="0.25">
      <c r="B50" s="38" t="s">
        <v>1014</v>
      </c>
      <c r="C50" s="75" t="s">
        <v>370</v>
      </c>
      <c r="D50" s="15" t="s">
        <v>372</v>
      </c>
      <c r="E50" s="25">
        <f>VALUE(SUMIFS(Tabela4[Estoque disponível],Tabela4[Material],'Ressuprimento 1'!C50))</f>
        <v>26.64</v>
      </c>
      <c r="F50" s="26">
        <v>18</v>
      </c>
      <c r="G50" s="27"/>
      <c r="H50" s="70"/>
      <c r="I50" s="101">
        <f>SUMIFS(Tabela1[Estoque disponível],Tabela1[Posição no depósito],Tabela2[[#This Row],[Prox/Atual]],Tabela1[Lote],Tabela2[[#This Row],[Lote]])</f>
        <v>0</v>
      </c>
    </row>
    <row r="51" spans="2:9" x14ac:dyDescent="0.25">
      <c r="B51" s="39" t="s">
        <v>1015</v>
      </c>
      <c r="C51" s="76" t="s">
        <v>503</v>
      </c>
      <c r="D51" s="30" t="s">
        <v>505</v>
      </c>
      <c r="E51" s="25">
        <f>VALUE(SUMIFS(Tabela4[Estoque disponível],Tabela4[Material],'Ressuprimento 1'!C51))</f>
        <v>29.88</v>
      </c>
      <c r="F51" s="26">
        <v>18</v>
      </c>
      <c r="G51" s="32"/>
      <c r="H51" s="71"/>
      <c r="I51" s="101">
        <f>SUMIFS(Tabela1[Estoque disponível],Tabela1[Posição no depósito],Tabela2[[#This Row],[Prox/Atual]],Tabela1[Lote],Tabela2[[#This Row],[Lote]])</f>
        <v>0</v>
      </c>
    </row>
    <row r="53" spans="2:9" x14ac:dyDescent="0.25">
      <c r="B53" s="41" t="s">
        <v>1199</v>
      </c>
      <c r="C53" s="20" t="s">
        <v>58</v>
      </c>
      <c r="D53" s="34" t="s">
        <v>8</v>
      </c>
      <c r="E53" s="35" t="s">
        <v>0</v>
      </c>
      <c r="F53" s="34" t="s">
        <v>9</v>
      </c>
      <c r="G53" s="34" t="s">
        <v>1</v>
      </c>
      <c r="H53" s="36" t="s">
        <v>28</v>
      </c>
      <c r="I53" s="102" t="s">
        <v>1287</v>
      </c>
    </row>
    <row r="54" spans="2:9" x14ac:dyDescent="0.25">
      <c r="B54" s="42" t="s">
        <v>1016</v>
      </c>
      <c r="C54" s="43" t="s">
        <v>418</v>
      </c>
      <c r="D54" s="43" t="s">
        <v>414</v>
      </c>
      <c r="E54" s="13">
        <f>VALUE(SUMIFS(Tabela4[Estoque disponível],Tabela4[Material],'Ressuprimento 1'!C54))</f>
        <v>28.8</v>
      </c>
      <c r="F54" s="13">
        <v>19.8</v>
      </c>
      <c r="G54" s="3"/>
      <c r="H54" s="4"/>
      <c r="I54" s="101">
        <f>SUMIFS(Tabela1[Estoque disponível],Tabela1[Posição no depósito],Tabela2[[#This Row],[Prox/Atual]],Tabela1[Lote],Tabela2[[#This Row],[Lote]])</f>
        <v>0</v>
      </c>
    </row>
    <row r="55" spans="2:9" x14ac:dyDescent="0.25">
      <c r="B55" s="44" t="s">
        <v>1017</v>
      </c>
      <c r="C55" s="13" t="s">
        <v>645</v>
      </c>
      <c r="D55" s="13" t="s">
        <v>40</v>
      </c>
      <c r="E55" s="13">
        <f>VALUE(SUMIFS(Tabela4[Estoque disponível],Tabela4[Material],'Ressuprimento 1'!C55))</f>
        <v>68.400000000000006</v>
      </c>
      <c r="F55" s="13">
        <v>19.8</v>
      </c>
      <c r="G55" s="3"/>
      <c r="H55" s="4"/>
      <c r="I55" s="3">
        <f>SUMIFS(Tabela1[Estoque disponível],Tabela1[Posição no depósito],Tabela2[[#This Row],[Prox/Atual]],Tabela1[Lote],Tabela2[[#This Row],[Lote]])</f>
        <v>0</v>
      </c>
    </row>
    <row r="56" spans="2:9" x14ac:dyDescent="0.25">
      <c r="B56" s="42" t="s">
        <v>1018</v>
      </c>
      <c r="C56" s="43" t="s">
        <v>446</v>
      </c>
      <c r="D56" s="43" t="s">
        <v>440</v>
      </c>
      <c r="E56" s="13">
        <f>VALUE(SUMIFS(Tabela4[Estoque disponível],Tabela4[Material],'Ressuprimento 1'!C56))</f>
        <v>38.700000000000003</v>
      </c>
      <c r="F56" s="13">
        <v>19.8</v>
      </c>
      <c r="G56" s="3"/>
      <c r="H56" s="4"/>
      <c r="I56" s="3">
        <f>SUMIFS(Tabela1[Estoque disponível],Tabela1[Posição no depósito],Tabela2[[#This Row],[Prox/Atual]],Tabela1[Lote],Tabela2[[#This Row],[Lote]])</f>
        <v>0</v>
      </c>
    </row>
    <row r="57" spans="2:9" x14ac:dyDescent="0.25">
      <c r="B57" s="44" t="s">
        <v>1019</v>
      </c>
      <c r="C57" s="3" t="s">
        <v>399</v>
      </c>
      <c r="D57" s="3" t="s">
        <v>47</v>
      </c>
      <c r="E57" s="13">
        <f>VALUE(SUMIFS(Tabela4[Estoque disponível],Tabela4[Material],'Ressuprimento 1'!C57))</f>
        <v>91.8</v>
      </c>
      <c r="F57" s="13">
        <v>19.8</v>
      </c>
      <c r="G57" s="3"/>
      <c r="H57" s="4"/>
      <c r="I57" s="3">
        <f>SUMIFS(Tabela1[Estoque disponível],Tabela1[Posição no depósito],Tabela2[[#This Row],[Prox/Atual]],Tabela1[Lote],Tabela2[[#This Row],[Lote]])</f>
        <v>0</v>
      </c>
    </row>
    <row r="58" spans="2:9" x14ac:dyDescent="0.25">
      <c r="B58" s="42" t="s">
        <v>1020</v>
      </c>
      <c r="C58" s="43" t="s">
        <v>623</v>
      </c>
      <c r="D58" s="43" t="s">
        <v>44</v>
      </c>
      <c r="E58" s="13">
        <f>VALUE(SUMIFS(Tabela4[Estoque disponível],Tabela4[Material],'Ressuprimento 1'!C58))</f>
        <v>126.9</v>
      </c>
      <c r="F58" s="13">
        <v>19.8</v>
      </c>
      <c r="G58" s="3"/>
      <c r="H58" s="4"/>
      <c r="I58" s="3">
        <f>SUMIFS(Tabela1[Estoque disponível],Tabela1[Posição no depósito],Tabela2[[#This Row],[Prox/Atual]],Tabela1[Lote],Tabela2[[#This Row],[Lote]])</f>
        <v>0</v>
      </c>
    </row>
    <row r="59" spans="2:9" x14ac:dyDescent="0.25">
      <c r="B59" s="44" t="s">
        <v>1021</v>
      </c>
      <c r="C59" s="13" t="s">
        <v>668</v>
      </c>
      <c r="D59" s="13" t="s">
        <v>35</v>
      </c>
      <c r="E59" s="13">
        <f>VALUE(SUMIFS(Tabela4[Estoque disponível],Tabela4[Material],'Ressuprimento 1'!C59))</f>
        <v>48.6</v>
      </c>
      <c r="F59" s="13">
        <v>19.8</v>
      </c>
      <c r="G59" s="3"/>
      <c r="H59" s="4"/>
      <c r="I59" s="3">
        <f>SUMIFS(Tabela1[Estoque disponível],Tabela1[Posição no depósito],Tabela2[[#This Row],[Prox/Atual]],Tabela1[Lote],Tabela2[[#This Row],[Lote]])</f>
        <v>0</v>
      </c>
    </row>
    <row r="60" spans="2:9" x14ac:dyDescent="0.25">
      <c r="B60" s="42" t="s">
        <v>1022</v>
      </c>
      <c r="C60" s="43" t="s">
        <v>308</v>
      </c>
      <c r="D60" s="43" t="s">
        <v>299</v>
      </c>
      <c r="E60" s="13">
        <f>VALUE(SUMIFS(Tabela4[Estoque disponível],Tabela4[Material],'Ressuprimento 1'!C60))</f>
        <v>60.3</v>
      </c>
      <c r="F60" s="13">
        <v>19.8</v>
      </c>
      <c r="G60" s="3"/>
      <c r="H60" s="4"/>
      <c r="I60" s="3">
        <f>SUMIFS(Tabela1[Estoque disponível],Tabela1[Posição no depósito],Tabela2[[#This Row],[Prox/Atual]],Tabela1[Lote],Tabela2[[#This Row],[Lote]])</f>
        <v>0</v>
      </c>
    </row>
    <row r="61" spans="2:9" x14ac:dyDescent="0.25">
      <c r="B61" s="42" t="s">
        <v>1023</v>
      </c>
      <c r="C61" s="43" t="s">
        <v>549</v>
      </c>
      <c r="D61" s="43" t="s">
        <v>32</v>
      </c>
      <c r="E61" s="13">
        <f>VALUE(SUMIFS(Tabela4[Estoque disponível],Tabela4[Material],'Ressuprimento 1'!C61))</f>
        <v>28.8</v>
      </c>
      <c r="F61" s="13">
        <v>19.8</v>
      </c>
      <c r="G61" s="3"/>
      <c r="H61" s="4"/>
      <c r="I61" s="3">
        <f>SUMIFS(Tabela1[Estoque disponível],Tabela1[Posição no depósito],Tabela2[[#This Row],[Prox/Atual]],Tabela1[Lote],Tabela2[[#This Row],[Lote]])</f>
        <v>0</v>
      </c>
    </row>
    <row r="62" spans="2:9" x14ac:dyDescent="0.25">
      <c r="B62" s="44" t="s">
        <v>1024</v>
      </c>
      <c r="C62" s="13" t="s">
        <v>353</v>
      </c>
      <c r="D62" s="13" t="s">
        <v>349</v>
      </c>
      <c r="E62" s="13">
        <f>VALUE(SUMIFS(Tabela4[Estoque disponível],Tabela4[Material],'Ressuprimento 1'!C62))</f>
        <v>66.599999999999994</v>
      </c>
      <c r="F62" s="13">
        <v>19.8</v>
      </c>
      <c r="G62" s="3"/>
      <c r="H62" s="4"/>
      <c r="I62" s="3">
        <f>SUMIFS(Tabela1[Estoque disponível],Tabela1[Posição no depósito],Tabela2[[#This Row],[Prox/Atual]],Tabela1[Lote],Tabela2[[#This Row],[Lote]])</f>
        <v>0</v>
      </c>
    </row>
    <row r="63" spans="2:9" x14ac:dyDescent="0.25">
      <c r="B63" s="45" t="s">
        <v>1025</v>
      </c>
      <c r="C63" s="46" t="s">
        <v>534</v>
      </c>
      <c r="D63" s="46" t="s">
        <v>531</v>
      </c>
      <c r="E63" s="13">
        <f>VALUE(SUMIFS(Tabela4[Estoque disponível],Tabela4[Material],'Ressuprimento 1'!C63))</f>
        <v>93.6</v>
      </c>
      <c r="F63" s="13">
        <v>19.8</v>
      </c>
      <c r="G63" s="6"/>
      <c r="H63" s="7"/>
      <c r="I63" s="3">
        <f>SUMIFS(Tabela1[Estoque disponível],Tabela1[Posição no depósito],Tabela2[[#This Row],[Prox/Atual]],Tabela1[Lote],Tabela2[[#This Row],[Lote]])</f>
        <v>0</v>
      </c>
    </row>
    <row r="65" spans="2:9" ht="15.75" x14ac:dyDescent="0.3">
      <c r="B65" s="33" t="s">
        <v>1166</v>
      </c>
      <c r="C65" s="20" t="s">
        <v>58</v>
      </c>
      <c r="D65" s="20" t="s">
        <v>8</v>
      </c>
      <c r="E65" s="21" t="s">
        <v>0</v>
      </c>
      <c r="F65" s="20" t="s">
        <v>9</v>
      </c>
      <c r="G65" s="20" t="s">
        <v>1</v>
      </c>
      <c r="H65" s="22" t="s">
        <v>28</v>
      </c>
      <c r="I65" s="100" t="s">
        <v>1287</v>
      </c>
    </row>
    <row r="66" spans="2:9" x14ac:dyDescent="0.25">
      <c r="B66" s="23" t="s">
        <v>962</v>
      </c>
      <c r="C66" s="24" t="s">
        <v>115</v>
      </c>
      <c r="D66" s="16" t="s">
        <v>117</v>
      </c>
      <c r="E66" s="25">
        <f>VALUE(SUMIFS(Tabela4[Estoque disponível],Tabela4[Material],'Ressuprimento 1'!C66))</f>
        <v>16.8</v>
      </c>
      <c r="F66" s="26">
        <v>7.68</v>
      </c>
      <c r="G66" s="27"/>
      <c r="H66" s="96"/>
      <c r="I66" s="101">
        <f>SUMIFS(Tabela1[Estoque disponível],Tabela1[Posição no depósito],Tabela2[[#This Row],[Prox/Atual]],Tabela1[Lote],Tabela2[[#This Row],[Lote]])</f>
        <v>0</v>
      </c>
    </row>
    <row r="67" spans="2:9" x14ac:dyDescent="0.25">
      <c r="B67" s="23" t="s">
        <v>963</v>
      </c>
      <c r="C67" s="24" t="s">
        <v>82</v>
      </c>
      <c r="D67" s="15" t="s">
        <v>84</v>
      </c>
      <c r="E67" s="25">
        <f>VALUE(SUMIFS(Tabela4[Estoque disponível],Tabela4[Material],'Ressuprimento 1'!C67))</f>
        <v>44.52</v>
      </c>
      <c r="F67" s="26">
        <v>7.68</v>
      </c>
      <c r="G67" s="27"/>
      <c r="H67" s="97"/>
      <c r="I67" s="101">
        <f>SUMIFS(Tabela1[Estoque disponível],Tabela1[Posição no depósito],Tabela2[[#This Row],[Prox/Atual]],Tabela1[Lote],Tabela2[[#This Row],[Lote]])</f>
        <v>0</v>
      </c>
    </row>
    <row r="68" spans="2:9" x14ac:dyDescent="0.25">
      <c r="B68" s="23" t="s">
        <v>965</v>
      </c>
      <c r="C68" s="24" t="s">
        <v>91</v>
      </c>
      <c r="D68" s="15" t="s">
        <v>93</v>
      </c>
      <c r="E68" s="25">
        <f>VALUE(SUMIFS(Tabela4[Estoque disponível],Tabela4[Material],'Ressuprimento 1'!C68))</f>
        <v>10.44</v>
      </c>
      <c r="F68" s="26">
        <v>7.68</v>
      </c>
      <c r="G68" s="27"/>
      <c r="H68" s="97"/>
      <c r="I68" s="101">
        <f>SUMIFS(Tabela1[Estoque disponível],Tabela1[Posição no depósito],Tabela2[[#This Row],[Prox/Atual]],Tabela1[Lote],Tabela2[[#This Row],[Lote]])</f>
        <v>0</v>
      </c>
    </row>
    <row r="69" spans="2:9" x14ac:dyDescent="0.25">
      <c r="B69" s="23" t="s">
        <v>967</v>
      </c>
      <c r="C69" s="24" t="s">
        <v>112</v>
      </c>
      <c r="D69" s="15" t="s">
        <v>114</v>
      </c>
      <c r="E69" s="25">
        <f>VALUE(SUMIFS(Tabela4[Estoque disponível],Tabela4[Material],'Ressuprimento 1'!C69))</f>
        <v>22.68</v>
      </c>
      <c r="F69" s="26">
        <v>7.68</v>
      </c>
      <c r="G69" s="27"/>
      <c r="H69" s="97"/>
      <c r="I69" s="101">
        <f>SUMIFS(Tabela1[Estoque disponível],Tabela1[Posição no depósito],Tabela2[[#This Row],[Prox/Atual]],Tabela1[Lote],Tabela2[[#This Row],[Lote]])</f>
        <v>0</v>
      </c>
    </row>
    <row r="70" spans="2:9" x14ac:dyDescent="0.25">
      <c r="B70" s="23" t="s">
        <v>969</v>
      </c>
      <c r="C70" s="24" t="s">
        <v>68</v>
      </c>
      <c r="D70" s="15" t="s">
        <v>72</v>
      </c>
      <c r="E70" s="25">
        <f>VALUE(SUMIFS(Tabela4[Estoque disponível],Tabela4[Material],'Ressuprimento 1'!C70))</f>
        <v>63.72</v>
      </c>
      <c r="F70" s="26">
        <v>7.68</v>
      </c>
      <c r="G70" s="27"/>
      <c r="H70" s="97"/>
      <c r="I70" s="101">
        <f>SUMIFS(Tabela1[Estoque disponível],Tabela1[Posição no depósito],Tabela2[[#This Row],[Prox/Atual]],Tabela1[Lote],Tabela2[[#This Row],[Lote]])</f>
        <v>0</v>
      </c>
    </row>
    <row r="71" spans="2:9" x14ac:dyDescent="0.25">
      <c r="B71" s="23" t="s">
        <v>970</v>
      </c>
      <c r="C71" s="24" t="s">
        <v>122</v>
      </c>
      <c r="D71" s="15" t="s">
        <v>123</v>
      </c>
      <c r="E71" s="25">
        <f>VALUE(SUMIFS(Tabela4[Estoque disponível],Tabela4[Material],'Ressuprimento 1'!C71))</f>
        <v>13.92</v>
      </c>
      <c r="F71" s="26">
        <v>7.68</v>
      </c>
      <c r="G71" s="27"/>
      <c r="H71" s="97"/>
      <c r="I71" s="101">
        <f>SUMIFS(Tabela1[Estoque disponível],Tabela1[Posição no depósito],Tabela2[[#This Row],[Prox/Atual]],Tabela1[Lote],Tabela2[[#This Row],[Lote]])</f>
        <v>0</v>
      </c>
    </row>
    <row r="72" spans="2:9" x14ac:dyDescent="0.25">
      <c r="B72" s="23" t="s">
        <v>971</v>
      </c>
      <c r="C72" s="24" t="s">
        <v>75</v>
      </c>
      <c r="D72" s="15" t="s">
        <v>77</v>
      </c>
      <c r="E72" s="25">
        <f>VALUE(SUMIFS(Tabela4[Estoque disponível],Tabela4[Material],'Ressuprimento 1'!C72))</f>
        <v>76.56</v>
      </c>
      <c r="F72" s="26">
        <v>7.68</v>
      </c>
      <c r="G72" s="27"/>
      <c r="H72" s="97"/>
      <c r="I72" s="101">
        <f>SUMIFS(Tabela1[Estoque disponível],Tabela1[Posição no depósito],Tabela2[[#This Row],[Prox/Atual]],Tabela1[Lote],Tabela2[[#This Row],[Lote]])</f>
        <v>0</v>
      </c>
    </row>
    <row r="73" spans="2:9" x14ac:dyDescent="0.25">
      <c r="B73" s="23" t="s">
        <v>973</v>
      </c>
      <c r="C73" s="24" t="s">
        <v>107</v>
      </c>
      <c r="D73" s="15" t="s">
        <v>109</v>
      </c>
      <c r="E73" s="25">
        <f>VALUE(SUMIFS(Tabela4[Estoque disponível],Tabela4[Material],'Ressuprimento 1'!C73))</f>
        <v>43.32</v>
      </c>
      <c r="F73" s="26">
        <v>7.68</v>
      </c>
      <c r="G73" s="27"/>
      <c r="H73" s="97"/>
      <c r="I73" s="101">
        <f>SUMIFS(Tabela1[Estoque disponível],Tabela1[Posição no depósito],Tabela2[[#This Row],[Prox/Atual]],Tabela1[Lote],Tabela2[[#This Row],[Lote]])</f>
        <v>0</v>
      </c>
    </row>
    <row r="74" spans="2:9" x14ac:dyDescent="0.25">
      <c r="B74" s="23" t="s">
        <v>974</v>
      </c>
      <c r="C74" s="24" t="s">
        <v>86</v>
      </c>
      <c r="D74" s="15" t="s">
        <v>87</v>
      </c>
      <c r="E74" s="25">
        <f>VALUE(SUMIFS(Tabela4[Estoque disponível],Tabela4[Material],'Ressuprimento 1'!C74))</f>
        <v>25.56</v>
      </c>
      <c r="F74" s="26">
        <v>7.68</v>
      </c>
      <c r="G74" s="27"/>
      <c r="H74" s="97"/>
      <c r="I74" s="101">
        <f>SUMIFS(Tabela1[Estoque disponível],Tabela1[Posição no depósito],Tabela2[[#This Row],[Prox/Atual]],Tabela1[Lote],Tabela2[[#This Row],[Lote]])</f>
        <v>0</v>
      </c>
    </row>
    <row r="75" spans="2:9" x14ac:dyDescent="0.25">
      <c r="B75" s="23" t="s">
        <v>975</v>
      </c>
      <c r="C75" s="24">
        <v>5003132800000590</v>
      </c>
      <c r="D75" s="15" t="s">
        <v>100</v>
      </c>
      <c r="E75" s="25">
        <f>VALUE(SUMIFS(Tabela4[Estoque disponível],Tabela4[Material],'Ressuprimento 1'!C75))</f>
        <v>37.44</v>
      </c>
      <c r="F75" s="26">
        <v>7.68</v>
      </c>
      <c r="G75" s="27"/>
      <c r="H75" s="97"/>
      <c r="I75" s="101">
        <f>SUMIFS(Tabela1[Estoque disponível],Tabela1[Posição no depósito],Tabela2[[#This Row],[Prox/Atual]],Tabela1[Lote],Tabela2[[#This Row],[Lote]])</f>
        <v>0</v>
      </c>
    </row>
    <row r="76" spans="2:9" x14ac:dyDescent="0.25">
      <c r="B76" s="23" t="s">
        <v>979</v>
      </c>
      <c r="C76" s="24" t="s">
        <v>976</v>
      </c>
      <c r="D76" s="15" t="s">
        <v>978</v>
      </c>
      <c r="E76" s="25">
        <f>VALUE(SUMIFS(Tabela4[Estoque disponível],Tabela4[Material],'Ressuprimento 1'!C76))</f>
        <v>12.96</v>
      </c>
      <c r="F76" s="26">
        <v>7.68</v>
      </c>
      <c r="G76" s="27"/>
      <c r="H76" s="97"/>
      <c r="I76" s="101">
        <f>SUMIFS(Tabela1[Estoque disponível],Tabela1[Posição no depósito],Tabela2[[#This Row],[Prox/Atual]],Tabela1[Lote],Tabela2[[#This Row],[Lote]])</f>
        <v>0</v>
      </c>
    </row>
    <row r="77" spans="2:9" x14ac:dyDescent="0.25">
      <c r="B77" s="23" t="s">
        <v>980</v>
      </c>
      <c r="C77" s="24" t="s">
        <v>131</v>
      </c>
      <c r="D77" s="15" t="s">
        <v>133</v>
      </c>
      <c r="E77" s="25">
        <f>VALUE(SUMIFS(Tabela4[Estoque disponível],Tabela4[Material],'Ressuprimento 1'!C77))</f>
        <v>20.04</v>
      </c>
      <c r="F77" s="26">
        <v>7.68</v>
      </c>
      <c r="G77" s="27"/>
      <c r="H77" s="97"/>
      <c r="I77" s="101">
        <f>SUMIFS(Tabela1[Estoque disponível],Tabela1[Posição no depósito],Tabela2[[#This Row],[Prox/Atual]],Tabela1[Lote],Tabela2[[#This Row],[Lote]])</f>
        <v>0</v>
      </c>
    </row>
    <row r="78" spans="2:9" x14ac:dyDescent="0.25">
      <c r="B78" s="23" t="s">
        <v>981</v>
      </c>
      <c r="C78" s="24" t="s">
        <v>119</v>
      </c>
      <c r="D78" s="16" t="s">
        <v>121</v>
      </c>
      <c r="E78" s="25">
        <f>VALUE(SUMIFS(Tabela4[Estoque disponível],Tabela4[Material],'Ressuprimento 1'!C78))</f>
        <v>46.08</v>
      </c>
      <c r="F78" s="26">
        <v>7.68</v>
      </c>
      <c r="G78" s="27"/>
      <c r="H78" s="97"/>
      <c r="I78" s="101">
        <f>SUMIFS(Tabela1[Estoque disponível],Tabela1[Posição no depósito],Tabela2[[#This Row],[Prox/Atual]],Tabela1[Lote],Tabela2[[#This Row],[Lote]])</f>
        <v>0</v>
      </c>
    </row>
    <row r="79" spans="2:9" x14ac:dyDescent="0.25">
      <c r="B79" s="23" t="s">
        <v>982</v>
      </c>
      <c r="C79" s="24" t="s">
        <v>127</v>
      </c>
      <c r="D79" s="15" t="s">
        <v>129</v>
      </c>
      <c r="E79" s="25">
        <f>VALUE(SUMIFS(Tabela4[Estoque disponível],Tabela4[Material],'Ressuprimento 1'!C79))</f>
        <v>46.080000000000005</v>
      </c>
      <c r="F79" s="26">
        <v>7.68</v>
      </c>
      <c r="G79" s="27"/>
      <c r="H79" s="97"/>
      <c r="I79" s="101">
        <f>SUMIFS(Tabela1[Estoque disponível],Tabela1[Posição no depósito],Tabela2[[#This Row],[Prox/Atual]],Tabela1[Lote],Tabela2[[#This Row],[Lote]])</f>
        <v>0</v>
      </c>
    </row>
    <row r="80" spans="2:9" x14ac:dyDescent="0.25">
      <c r="B80" s="23" t="s">
        <v>983</v>
      </c>
      <c r="C80" s="24">
        <v>5003132000000590</v>
      </c>
      <c r="D80" s="15" t="s">
        <v>96</v>
      </c>
      <c r="E80" s="25">
        <f>VALUE(SUMIFS(Tabela4[Estoque disponível],Tabela4[Material],'Ressuprimento 1'!C80))</f>
        <v>28.32</v>
      </c>
      <c r="F80" s="26">
        <v>7.68</v>
      </c>
      <c r="G80" s="27"/>
      <c r="H80" s="97"/>
      <c r="I80" s="101">
        <f>SUMIFS(Tabela1[Estoque disponível],Tabela1[Posição no depósito],Tabela2[[#This Row],[Prox/Atual]],Tabela1[Lote],Tabela2[[#This Row],[Lote]])</f>
        <v>0</v>
      </c>
    </row>
    <row r="81" spans="2:9" x14ac:dyDescent="0.25">
      <c r="B81" s="23" t="s">
        <v>987</v>
      </c>
      <c r="C81" s="24" t="s">
        <v>984</v>
      </c>
      <c r="D81" s="15" t="s">
        <v>986</v>
      </c>
      <c r="E81" s="25">
        <f>VALUE(SUMIFS(Tabela4[Estoque disponível],Tabela4[Material],'Ressuprimento 1'!C81))</f>
        <v>44.04</v>
      </c>
      <c r="F81" s="26">
        <v>7.68</v>
      </c>
      <c r="G81" s="27"/>
      <c r="H81" s="97"/>
      <c r="I81" s="101">
        <f>SUMIFS(Tabela1[Estoque disponível],Tabela1[Posição no depósito],Tabela2[[#This Row],[Prox/Atual]],Tabela1[Lote],Tabela2[[#This Row],[Lote]])</f>
        <v>0</v>
      </c>
    </row>
    <row r="82" spans="2:9" x14ac:dyDescent="0.25">
      <c r="B82" s="23" t="s">
        <v>989</v>
      </c>
      <c r="C82" s="24" t="s">
        <v>104</v>
      </c>
      <c r="D82" s="16" t="s">
        <v>106</v>
      </c>
      <c r="E82" s="25">
        <f>VALUE(SUMIFS(Tabela4[Estoque disponível],Tabela4[Material],'Ressuprimento 1'!C82))</f>
        <v>16.68</v>
      </c>
      <c r="F82" s="26">
        <v>7.68</v>
      </c>
      <c r="G82" s="27"/>
      <c r="H82" s="97"/>
      <c r="I82" s="101">
        <f>SUMIFS(Tabela1[Estoque disponível],Tabela1[Posição no depósito],Tabela2[[#This Row],[Prox/Atual]],Tabela1[Lote],Tabela2[[#This Row],[Lote]])</f>
        <v>0</v>
      </c>
    </row>
    <row r="83" spans="2:9" x14ac:dyDescent="0.25">
      <c r="B83" s="28" t="s">
        <v>993</v>
      </c>
      <c r="C83" s="29" t="s">
        <v>990</v>
      </c>
      <c r="D83" s="30" t="s">
        <v>992</v>
      </c>
      <c r="E83" s="25">
        <f>VALUE(SUMIFS(Tabela4[Estoque disponível],Tabela4[Material],'Ressuprimento 1'!C83))</f>
        <v>22.92</v>
      </c>
      <c r="F83" s="31">
        <v>7.68</v>
      </c>
      <c r="G83" s="32"/>
      <c r="H83" s="98"/>
      <c r="I83" s="101">
        <f>SUMIFS(Tabela1[Estoque disponível],Tabela1[Posição no depósito],Tabela2[[#This Row],[Prox/Atual]],Tabela1[Lote],Tabela2[[#This Row],[Lote]])</f>
        <v>0</v>
      </c>
    </row>
    <row r="84" spans="2:9" x14ac:dyDescent="0.25">
      <c r="B84" s="87" t="s">
        <v>997</v>
      </c>
      <c r="C84" s="88" t="s">
        <v>994</v>
      </c>
      <c r="D84" s="83" t="s">
        <v>996</v>
      </c>
      <c r="E84" s="89">
        <f>VALUE(SUMIFS(Tabela4[Estoque disponível],Tabela4[Material],'Ressuprimento 1'!C84))</f>
        <v>15.48</v>
      </c>
      <c r="F84" s="31">
        <v>7.68</v>
      </c>
      <c r="G84" s="90"/>
      <c r="H84" s="98"/>
      <c r="I84" s="101">
        <f>SUMIFS(Tabela1[Estoque disponível],Tabela1[Posição no depósito],Tabela2[[#This Row],[Prox/Atual]],Tabela1[Lote],Tabela2[[#This Row],[Lote]])</f>
        <v>0</v>
      </c>
    </row>
  </sheetData>
  <conditionalFormatting sqref="E3:E10 E54:E63 E22">
    <cfRule type="expression" dxfId="66" priority="9">
      <formula>E3&lt;$F3</formula>
    </cfRule>
  </conditionalFormatting>
  <conditionalFormatting sqref="E35:E51">
    <cfRule type="expression" dxfId="65" priority="5">
      <formula>E35&lt;$F35</formula>
    </cfRule>
  </conditionalFormatting>
  <conditionalFormatting sqref="F14:F22">
    <cfRule type="uniqueValues" dxfId="64" priority="25"/>
  </conditionalFormatting>
  <conditionalFormatting sqref="E66:E84">
    <cfRule type="expression" dxfId="63" priority="3">
      <formula>E66&lt;$F66</formula>
    </cfRule>
  </conditionalFormatting>
  <conditionalFormatting sqref="E13:E21">
    <cfRule type="expression" dxfId="62" priority="2">
      <formula>E13&lt;$F13</formula>
    </cfRule>
  </conditionalFormatting>
  <conditionalFormatting sqref="E24:E32">
    <cfRule type="expression" dxfId="61" priority="1">
      <formula>E24&lt;$F24</formula>
    </cfRule>
  </conditionalFormatting>
  <pageMargins left="0.511811024" right="0.511811024" top="0.78740157499999996" bottom="0.78740157499999996" header="0.31496062000000002" footer="0.31496062000000002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600B-E113-4D99-8364-4729D02C9C7E}">
  <dimension ref="B2:H47"/>
  <sheetViews>
    <sheetView showGridLines="0" topLeftCell="A7" zoomScale="75" zoomScaleNormal="75" workbookViewId="0">
      <selection activeCell="C19" sqref="C19"/>
    </sheetView>
  </sheetViews>
  <sheetFormatPr defaultRowHeight="15" x14ac:dyDescent="0.25"/>
  <cols>
    <col min="1" max="1" width="3.7109375" customWidth="1"/>
    <col min="2" max="2" width="15.42578125" bestFit="1" customWidth="1"/>
    <col min="3" max="3" width="22.7109375" bestFit="1" customWidth="1"/>
    <col min="4" max="4" width="52.28515625" bestFit="1" customWidth="1"/>
    <col min="5" max="5" width="20.42578125" customWidth="1"/>
    <col min="6" max="6" width="19.5703125" customWidth="1"/>
    <col min="7" max="7" width="21.28515625" customWidth="1"/>
    <col min="8" max="8" width="14.140625" customWidth="1"/>
  </cols>
  <sheetData>
    <row r="2" spans="2:8" x14ac:dyDescent="0.25">
      <c r="B2" s="48" t="s">
        <v>1201</v>
      </c>
      <c r="C2" s="20" t="s">
        <v>58</v>
      </c>
      <c r="D2" s="49" t="s">
        <v>8</v>
      </c>
      <c r="E2" s="50" t="s">
        <v>825</v>
      </c>
      <c r="F2" s="49" t="s">
        <v>9</v>
      </c>
      <c r="G2" s="49" t="s">
        <v>1</v>
      </c>
      <c r="H2" s="51" t="s">
        <v>28</v>
      </c>
    </row>
    <row r="3" spans="2:8" x14ac:dyDescent="0.25">
      <c r="B3" s="15" t="s">
        <v>1108</v>
      </c>
      <c r="C3" s="57" t="s">
        <v>744</v>
      </c>
      <c r="D3" s="15" t="s">
        <v>746</v>
      </c>
      <c r="E3" s="52">
        <f>SUMIFS(Tabela4[Estoque disponível],Tabela4[Material],Tabela29[[#This Row],[Material]])</f>
        <v>86.04</v>
      </c>
      <c r="F3" s="52">
        <v>11.88</v>
      </c>
      <c r="G3" s="53"/>
      <c r="H3" s="54"/>
    </row>
    <row r="4" spans="2:8" x14ac:dyDescent="0.25">
      <c r="B4" s="15" t="s">
        <v>1110</v>
      </c>
      <c r="C4" s="57" t="s">
        <v>782</v>
      </c>
      <c r="D4" s="15" t="s">
        <v>784</v>
      </c>
      <c r="E4" s="52">
        <f>SUMIFS(Tabela4[Estoque disponível],Tabela4[Material],Tabela29[[#This Row],[Material]])</f>
        <v>46.08</v>
      </c>
      <c r="F4" s="52">
        <v>11.88</v>
      </c>
      <c r="G4" s="53"/>
      <c r="H4" s="54"/>
    </row>
    <row r="5" spans="2:8" x14ac:dyDescent="0.25">
      <c r="B5" s="15" t="s">
        <v>1111</v>
      </c>
      <c r="C5" s="57" t="s">
        <v>788</v>
      </c>
      <c r="D5" s="15" t="s">
        <v>790</v>
      </c>
      <c r="E5" s="52">
        <f>SUMIFS(Tabela4[Estoque disponível],Tabela4[Material],Tabela29[[#This Row],[Material]])</f>
        <v>16.560000000000002</v>
      </c>
      <c r="F5" s="52">
        <v>11.88</v>
      </c>
      <c r="G5" s="53"/>
      <c r="H5" s="54"/>
    </row>
    <row r="6" spans="2:8" x14ac:dyDescent="0.25">
      <c r="B6" s="15" t="s">
        <v>1115</v>
      </c>
      <c r="C6" s="57" t="s">
        <v>1112</v>
      </c>
      <c r="D6" s="15" t="s">
        <v>1114</v>
      </c>
      <c r="E6" s="52">
        <f>SUMIFS(Tabela4[Estoque disponível],Tabela4[Material],Tabela29[[#This Row],[Material]])</f>
        <v>38.519999999999996</v>
      </c>
      <c r="F6" s="52">
        <v>11.88</v>
      </c>
      <c r="G6" s="53"/>
      <c r="H6" s="54"/>
    </row>
    <row r="7" spans="2:8" x14ac:dyDescent="0.25">
      <c r="B7" s="15" t="s">
        <v>1118</v>
      </c>
      <c r="C7" s="57" t="s">
        <v>765</v>
      </c>
      <c r="D7" s="15" t="s">
        <v>767</v>
      </c>
      <c r="E7" s="52">
        <f>SUMIFS(Tabela4[Estoque disponível],Tabela4[Material],Tabela29[[#This Row],[Material]])</f>
        <v>19.8</v>
      </c>
      <c r="F7" s="52">
        <v>11.88</v>
      </c>
      <c r="G7" s="55"/>
      <c r="H7" s="56"/>
    </row>
    <row r="8" spans="2:8" x14ac:dyDescent="0.25">
      <c r="B8" s="15" t="s">
        <v>1120</v>
      </c>
      <c r="C8" s="57" t="s">
        <v>779</v>
      </c>
      <c r="D8" s="15" t="s">
        <v>781</v>
      </c>
      <c r="E8" s="52">
        <f>SUMIFS(Tabela4[Estoque disponível],Tabela4[Material],Tabela29[[#This Row],[Material]])</f>
        <v>117.36</v>
      </c>
      <c r="F8" s="52">
        <v>11.88</v>
      </c>
      <c r="G8" s="53"/>
      <c r="H8" s="54"/>
    </row>
    <row r="9" spans="2:8" x14ac:dyDescent="0.25">
      <c r="B9" s="15" t="s">
        <v>1122</v>
      </c>
      <c r="C9" s="57" t="s">
        <v>769</v>
      </c>
      <c r="D9" s="15" t="s">
        <v>771</v>
      </c>
      <c r="E9" s="52">
        <f>SUMIFS(Tabela4[Estoque disponível],Tabela4[Material],Tabela29[[#This Row],[Material]])</f>
        <v>46.44</v>
      </c>
      <c r="F9" s="52">
        <v>11.88</v>
      </c>
      <c r="G9" s="53"/>
      <c r="H9" s="54"/>
    </row>
    <row r="10" spans="2:8" x14ac:dyDescent="0.25">
      <c r="B10" s="15" t="s">
        <v>1126</v>
      </c>
      <c r="C10" s="57" t="s">
        <v>1123</v>
      </c>
      <c r="D10" s="15" t="s">
        <v>1125</v>
      </c>
      <c r="E10" s="52">
        <f>SUMIFS(Tabela4[Estoque disponível],Tabela4[Material],Tabela29[[#This Row],[Material]])</f>
        <v>70.92</v>
      </c>
      <c r="F10" s="52">
        <v>11.88</v>
      </c>
      <c r="G10" s="53"/>
      <c r="H10" s="54"/>
    </row>
    <row r="11" spans="2:8" x14ac:dyDescent="0.25">
      <c r="B11" s="15" t="s">
        <v>1128</v>
      </c>
      <c r="C11" s="57" t="s">
        <v>757</v>
      </c>
      <c r="D11" s="15" t="s">
        <v>758</v>
      </c>
      <c r="E11" s="52">
        <f>SUMIFS(Tabela4[Estoque disponível],Tabela4[Material],Tabela29[[#This Row],[Material]])</f>
        <v>14.4</v>
      </c>
      <c r="F11" s="52">
        <v>11.88</v>
      </c>
      <c r="G11" s="53"/>
      <c r="H11" s="54"/>
    </row>
    <row r="12" spans="2:8" x14ac:dyDescent="0.25">
      <c r="B12" s="15" t="s">
        <v>1129</v>
      </c>
      <c r="C12" s="57" t="s">
        <v>740</v>
      </c>
      <c r="D12" s="15" t="s">
        <v>742</v>
      </c>
      <c r="E12" s="52">
        <f>SUMIFS(Tabela4[Estoque disponível],Tabela4[Material],Tabela29[[#This Row],[Material]])</f>
        <v>76.680000000000007</v>
      </c>
      <c r="F12" s="52">
        <v>11.88</v>
      </c>
      <c r="G12" s="53"/>
      <c r="H12" s="54"/>
    </row>
    <row r="13" spans="2:8" x14ac:dyDescent="0.25">
      <c r="B13" s="15" t="s">
        <v>1132</v>
      </c>
      <c r="C13" s="57" t="s">
        <v>1130</v>
      </c>
      <c r="D13" s="15" t="s">
        <v>1131</v>
      </c>
      <c r="E13" s="52">
        <f>SUMIFS(Tabela4[Estoque disponível],Tabela4[Material],Tabela29[[#This Row],[Material]])</f>
        <v>93.96</v>
      </c>
      <c r="F13" s="52">
        <v>11.88</v>
      </c>
      <c r="G13" s="53"/>
      <c r="H13" s="54"/>
    </row>
    <row r="14" spans="2:8" x14ac:dyDescent="0.25">
      <c r="B14" s="15" t="s">
        <v>1134</v>
      </c>
      <c r="C14" s="57" t="s">
        <v>737</v>
      </c>
      <c r="D14" s="15" t="s">
        <v>739</v>
      </c>
      <c r="E14" s="52">
        <f>SUMIFS(Tabela4[Estoque disponível],Tabela4[Material],Tabela29[[#This Row],[Material]])</f>
        <v>111.6</v>
      </c>
      <c r="F14" s="52">
        <v>11.88</v>
      </c>
      <c r="G14" s="53"/>
      <c r="H14" s="54"/>
    </row>
    <row r="15" spans="2:8" x14ac:dyDescent="0.25">
      <c r="B15" s="15" t="s">
        <v>1135</v>
      </c>
      <c r="C15" s="57" t="s">
        <v>716</v>
      </c>
      <c r="D15" s="15" t="s">
        <v>718</v>
      </c>
      <c r="E15" s="52">
        <f>SUMIFS(Tabela4[Estoque disponível],Tabela4[Material],Tabela29[[#This Row],[Material]])</f>
        <v>39.96</v>
      </c>
      <c r="F15" s="52">
        <v>11.88</v>
      </c>
      <c r="G15" s="53"/>
      <c r="H15" s="54"/>
    </row>
    <row r="16" spans="2:8" x14ac:dyDescent="0.25">
      <c r="B16" s="15" t="s">
        <v>1138</v>
      </c>
      <c r="C16" s="57" t="s">
        <v>1136</v>
      </c>
      <c r="D16" s="15" t="s">
        <v>1137</v>
      </c>
      <c r="E16" s="52">
        <f>SUMIFS(Tabela4[Estoque disponível],Tabela4[Material],Tabela29[[#This Row],[Material]])</f>
        <v>61.2</v>
      </c>
      <c r="F16" s="52">
        <v>11.88</v>
      </c>
      <c r="G16" s="53"/>
      <c r="H16" s="54"/>
    </row>
    <row r="17" spans="2:8" x14ac:dyDescent="0.25">
      <c r="B17" s="15" t="s">
        <v>1139</v>
      </c>
      <c r="C17" s="57" t="s">
        <v>796</v>
      </c>
      <c r="D17" s="15" t="s">
        <v>798</v>
      </c>
      <c r="E17" s="52">
        <f>SUMIFS(Tabela4[Estoque disponível],Tabela4[Material],Tabela29[[#This Row],[Material]])</f>
        <v>111.60000000000001</v>
      </c>
      <c r="F17" s="52">
        <v>11.88</v>
      </c>
      <c r="G17" s="53"/>
      <c r="H17" s="54"/>
    </row>
    <row r="18" spans="2:8" x14ac:dyDescent="0.25">
      <c r="B18" s="15" t="s">
        <v>1141</v>
      </c>
      <c r="C18" s="57" t="s">
        <v>723</v>
      </c>
      <c r="D18" s="15" t="s">
        <v>725</v>
      </c>
      <c r="E18" s="52">
        <f>SUMIFS(Tabela4[Estoque disponível],Tabela4[Material],Tabela29[[#This Row],[Material]])</f>
        <v>155.16000000000003</v>
      </c>
      <c r="F18" s="52">
        <v>11.88</v>
      </c>
      <c r="G18" s="53"/>
      <c r="H18" s="54"/>
    </row>
    <row r="19" spans="2:8" x14ac:dyDescent="0.25">
      <c r="B19" s="15" t="s">
        <v>1142</v>
      </c>
      <c r="C19" s="57" t="s">
        <v>729</v>
      </c>
      <c r="D19" s="15" t="s">
        <v>1204</v>
      </c>
      <c r="E19" s="52">
        <f>SUMIFS(Tabela4[Estoque disponível],Tabela4[Material],Tabela29[[#This Row],[Material]])</f>
        <v>250.92</v>
      </c>
      <c r="F19" s="52">
        <v>11.88</v>
      </c>
      <c r="G19" s="53"/>
      <c r="H19" s="54"/>
    </row>
    <row r="21" spans="2:8" x14ac:dyDescent="0.25">
      <c r="B21" s="60" t="s">
        <v>1202</v>
      </c>
      <c r="C21" s="20" t="s">
        <v>58</v>
      </c>
      <c r="D21" s="34" t="s">
        <v>8</v>
      </c>
      <c r="E21" s="35" t="s">
        <v>825</v>
      </c>
      <c r="F21" s="34" t="s">
        <v>9</v>
      </c>
      <c r="G21" s="34" t="s">
        <v>1</v>
      </c>
      <c r="H21" s="36" t="s">
        <v>28</v>
      </c>
    </row>
    <row r="22" spans="2:8" x14ac:dyDescent="0.25">
      <c r="B22" s="58" t="s">
        <v>1086</v>
      </c>
      <c r="C22" s="59" t="s">
        <v>486</v>
      </c>
      <c r="D22" s="59" t="s">
        <v>488</v>
      </c>
      <c r="E22" s="52">
        <f>SUMIFS(Tabela4[Estoque disponível],Tabela4[Material],Tabela9[[#This Row],[Material]])</f>
        <v>66.45</v>
      </c>
      <c r="F22" s="13">
        <v>12</v>
      </c>
      <c r="G22" s="61"/>
      <c r="H22" s="62"/>
    </row>
    <row r="23" spans="2:8" x14ac:dyDescent="0.25">
      <c r="B23" s="42" t="s">
        <v>1087</v>
      </c>
      <c r="C23" s="43" t="s">
        <v>695</v>
      </c>
      <c r="D23" s="43" t="s">
        <v>697</v>
      </c>
      <c r="E23" s="52">
        <f>SUMIFS(Tabela4[Estoque disponível],Tabela4[Material],Tabela9[[#This Row],[Material]])</f>
        <v>33.6</v>
      </c>
      <c r="F23" s="13">
        <v>12</v>
      </c>
      <c r="G23" s="61"/>
      <c r="H23" s="62"/>
    </row>
    <row r="24" spans="2:8" x14ac:dyDescent="0.25">
      <c r="B24" s="58" t="s">
        <v>1088</v>
      </c>
      <c r="C24" s="59" t="s">
        <v>555</v>
      </c>
      <c r="D24" s="59" t="s">
        <v>557</v>
      </c>
      <c r="E24" s="52">
        <f>SUMIFS(Tabela4[Estoque disponível],Tabela4[Material],Tabela9[[#This Row],[Material]])</f>
        <v>21.45</v>
      </c>
      <c r="F24" s="13">
        <v>12</v>
      </c>
      <c r="G24" s="61"/>
      <c r="H24" s="62"/>
    </row>
    <row r="25" spans="2:8" x14ac:dyDescent="0.25">
      <c r="B25" s="42" t="s">
        <v>1089</v>
      </c>
      <c r="C25" s="43" t="s">
        <v>476</v>
      </c>
      <c r="D25" s="43" t="s">
        <v>478</v>
      </c>
      <c r="E25" s="52">
        <f>SUMIFS(Tabela4[Estoque disponível],Tabela4[Material],Tabela9[[#This Row],[Material]])</f>
        <v>56.25</v>
      </c>
      <c r="F25" s="13">
        <v>12</v>
      </c>
      <c r="G25" s="61"/>
      <c r="H25" s="62"/>
    </row>
    <row r="26" spans="2:8" x14ac:dyDescent="0.25">
      <c r="B26" s="58" t="s">
        <v>1090</v>
      </c>
      <c r="C26" s="59" t="s">
        <v>361</v>
      </c>
      <c r="D26" s="59" t="s">
        <v>363</v>
      </c>
      <c r="E26" s="52">
        <f>SUMIFS(Tabela4[Estoque disponível],Tabela4[Material],Tabela9[[#This Row],[Material]])</f>
        <v>30.45</v>
      </c>
      <c r="F26" s="13">
        <v>12</v>
      </c>
      <c r="G26" s="61"/>
      <c r="H26" s="62"/>
    </row>
    <row r="27" spans="2:8" x14ac:dyDescent="0.25">
      <c r="B27" s="73" t="s">
        <v>1091</v>
      </c>
      <c r="C27" s="74" t="s">
        <v>282</v>
      </c>
      <c r="D27" s="74" t="s">
        <v>284</v>
      </c>
      <c r="E27" s="72">
        <f>SUMIFS(Tabela4[Estoque disponível],Tabela4[Material],Tabela9[[#This Row],[Material]])</f>
        <v>33.299999999999997</v>
      </c>
      <c r="F27" s="13">
        <v>12</v>
      </c>
      <c r="G27" s="61"/>
      <c r="H27" s="62"/>
    </row>
    <row r="28" spans="2:8" x14ac:dyDescent="0.25">
      <c r="B28" s="42" t="s">
        <v>1092</v>
      </c>
      <c r="C28" s="43" t="s">
        <v>698</v>
      </c>
      <c r="D28" s="43" t="s">
        <v>700</v>
      </c>
      <c r="E28" s="52">
        <f>SUMIFS(Tabela4[Estoque disponível],Tabela4[Material],Tabela9[[#This Row],[Material]])</f>
        <v>50.25</v>
      </c>
      <c r="F28" s="13">
        <v>12</v>
      </c>
      <c r="G28" s="61"/>
      <c r="H28" s="62"/>
    </row>
    <row r="29" spans="2:8" x14ac:dyDescent="0.25">
      <c r="B29" s="73" t="s">
        <v>1093</v>
      </c>
      <c r="C29" s="74" t="s">
        <v>311</v>
      </c>
      <c r="D29" s="74" t="s">
        <v>313</v>
      </c>
      <c r="E29" s="52">
        <f>SUMIFS(Tabela4[Estoque disponível],Tabela4[Material],Tabela9[[#This Row],[Material]])</f>
        <v>20.55</v>
      </c>
      <c r="F29" s="13">
        <v>12</v>
      </c>
      <c r="G29" s="61"/>
      <c r="H29" s="62"/>
    </row>
    <row r="30" spans="2:8" x14ac:dyDescent="0.25">
      <c r="B30" s="42" t="s">
        <v>1094</v>
      </c>
      <c r="C30" s="68" t="s">
        <v>518</v>
      </c>
      <c r="D30" s="43" t="s">
        <v>319</v>
      </c>
      <c r="E30" s="52">
        <f>SUMIFS(Tabela4[Estoque disponível],Tabela4[Material],Tabela9[[#This Row],[Material]])</f>
        <v>56.25</v>
      </c>
      <c r="F30" s="13">
        <v>12</v>
      </c>
      <c r="G30" s="61"/>
      <c r="H30" s="62"/>
    </row>
    <row r="31" spans="2:8" x14ac:dyDescent="0.25">
      <c r="B31" s="73" t="s">
        <v>1095</v>
      </c>
      <c r="C31" s="74" t="s">
        <v>518</v>
      </c>
      <c r="D31" s="74" t="s">
        <v>520</v>
      </c>
      <c r="E31" s="52">
        <f>SUMIFS(Tabela4[Estoque disponível],Tabela4[Material],Tabela9[[#This Row],[Material]])</f>
        <v>56.25</v>
      </c>
      <c r="F31" s="13">
        <v>12</v>
      </c>
      <c r="G31" s="61"/>
      <c r="H31" s="62"/>
    </row>
    <row r="32" spans="2:8" x14ac:dyDescent="0.25">
      <c r="B32" s="42" t="s">
        <v>1096</v>
      </c>
      <c r="C32" s="43" t="s">
        <v>588</v>
      </c>
      <c r="D32" s="43" t="s">
        <v>590</v>
      </c>
      <c r="E32" s="52">
        <f>SUMIFS(Tabela4[Estoque disponível],Tabela4[Material],Tabela9[[#This Row],[Material]])</f>
        <v>80.849999999999994</v>
      </c>
      <c r="F32" s="13">
        <v>12</v>
      </c>
      <c r="G32" s="61"/>
      <c r="H32" s="62"/>
    </row>
    <row r="33" spans="2:8" x14ac:dyDescent="0.25">
      <c r="B33" s="73" t="s">
        <v>1097</v>
      </c>
      <c r="C33" s="74" t="s">
        <v>330</v>
      </c>
      <c r="D33" s="74" t="s">
        <v>332</v>
      </c>
      <c r="E33" s="52">
        <f>SUMIFS(Tabela4[Estoque disponível],Tabela4[Material],Tabela9[[#This Row],[Material]])</f>
        <v>72.599999999999994</v>
      </c>
      <c r="F33" s="13">
        <v>12</v>
      </c>
      <c r="G33" s="61"/>
      <c r="H33" s="62"/>
    </row>
    <row r="34" spans="2:8" x14ac:dyDescent="0.25">
      <c r="B34" s="42" t="s">
        <v>1098</v>
      </c>
      <c r="C34" s="43" t="s">
        <v>423</v>
      </c>
      <c r="D34" s="43" t="s">
        <v>425</v>
      </c>
      <c r="E34" s="52">
        <f>SUMIFS(Tabela4[Estoque disponível],Tabela4[Material],Tabela9[[#This Row],[Material]])</f>
        <v>61.05</v>
      </c>
      <c r="F34" s="13">
        <v>12</v>
      </c>
      <c r="G34" s="61"/>
      <c r="H34" s="62"/>
    </row>
    <row r="35" spans="2:8" x14ac:dyDescent="0.25">
      <c r="B35" s="73" t="s">
        <v>1099</v>
      </c>
      <c r="C35" s="74" t="s">
        <v>507</v>
      </c>
      <c r="D35" s="74" t="s">
        <v>509</v>
      </c>
      <c r="E35" s="52">
        <f>SUMIFS(Tabela4[Estoque disponível],Tabela4[Material],Tabela9[[#This Row],[Material]])</f>
        <v>39.299999999999997</v>
      </c>
      <c r="F35" s="13">
        <v>12</v>
      </c>
      <c r="G35" s="61"/>
      <c r="H35" s="62"/>
    </row>
    <row r="36" spans="2:8" x14ac:dyDescent="0.25">
      <c r="B36" s="45" t="s">
        <v>1101</v>
      </c>
      <c r="C36" s="46" t="s">
        <v>706</v>
      </c>
      <c r="D36" s="46" t="s">
        <v>708</v>
      </c>
      <c r="E36" s="63">
        <f>SUMIFS(Tabela4[Estoque disponível],Tabela4[Material],Tabela9[[#This Row],[Material]])</f>
        <v>101.1</v>
      </c>
      <c r="F36" s="47">
        <v>12</v>
      </c>
      <c r="G36" s="64"/>
      <c r="H36" s="65"/>
    </row>
    <row r="38" spans="2:8" x14ac:dyDescent="0.25">
      <c r="B38" s="60" t="s">
        <v>1209</v>
      </c>
      <c r="C38" s="20" t="s">
        <v>58</v>
      </c>
      <c r="D38" s="34" t="s">
        <v>8</v>
      </c>
      <c r="E38" s="35" t="s">
        <v>825</v>
      </c>
      <c r="F38" s="34" t="s">
        <v>9</v>
      </c>
      <c r="G38" s="34" t="s">
        <v>1</v>
      </c>
      <c r="H38" s="36" t="s">
        <v>28</v>
      </c>
    </row>
    <row r="39" spans="2:8" x14ac:dyDescent="0.25">
      <c r="B39" s="38" t="s">
        <v>1037</v>
      </c>
      <c r="C39" s="15" t="s">
        <v>585</v>
      </c>
      <c r="D39" s="15" t="s">
        <v>587</v>
      </c>
      <c r="E39" s="52">
        <f>SUMIFS(Tabela4[Estoque disponível],Tabela4[Material],Tabela96[[#This Row],[Material]])</f>
        <v>49.536000000000001</v>
      </c>
      <c r="F39" s="52">
        <v>9.5039999999999996</v>
      </c>
      <c r="G39" s="92"/>
      <c r="H39" s="93"/>
    </row>
    <row r="40" spans="2:8" x14ac:dyDescent="0.25">
      <c r="B40" s="38" t="s">
        <v>1038</v>
      </c>
      <c r="C40" s="15" t="s">
        <v>420</v>
      </c>
      <c r="D40" s="15" t="s">
        <v>422</v>
      </c>
      <c r="E40" s="52">
        <f>SUMIFS(Tabela4[Estoque disponível],Tabela4[Material],Tabela96[[#This Row],[Material]])</f>
        <v>60.911999999999999</v>
      </c>
      <c r="F40" s="52">
        <v>9.5039999999999996</v>
      </c>
      <c r="G40" s="92"/>
      <c r="H40" s="93"/>
    </row>
    <row r="41" spans="2:8" x14ac:dyDescent="0.25">
      <c r="B41" s="38" t="s">
        <v>1039</v>
      </c>
      <c r="C41" s="15" t="s">
        <v>482</v>
      </c>
      <c r="D41" s="15" t="s">
        <v>484</v>
      </c>
      <c r="E41" s="52">
        <f>SUMIFS(Tabela4[Estoque disponível],Tabela4[Material],Tabela96[[#This Row],[Material]])</f>
        <v>26.352</v>
      </c>
      <c r="F41" s="52">
        <v>9.5039999999999996</v>
      </c>
      <c r="G41" s="92"/>
      <c r="H41" s="93"/>
    </row>
    <row r="42" spans="2:8" x14ac:dyDescent="0.25">
      <c r="B42" s="38" t="s">
        <v>1040</v>
      </c>
      <c r="C42" s="15">
        <v>5053071200000590</v>
      </c>
      <c r="D42" s="15" t="s">
        <v>326</v>
      </c>
      <c r="E42" s="52">
        <f>SUMIFS(Tabela4[Estoque disponível],Tabela4[Material],Tabela96[[#This Row],[Material]])</f>
        <v>2.5920000000000001</v>
      </c>
      <c r="F42" s="52">
        <v>9.5039999999999996</v>
      </c>
      <c r="G42" s="92" t="s">
        <v>500</v>
      </c>
      <c r="H42" s="93">
        <v>550087019</v>
      </c>
    </row>
    <row r="43" spans="2:8" x14ac:dyDescent="0.25">
      <c r="B43" s="38" t="s">
        <v>1041</v>
      </c>
      <c r="C43" s="15" t="s">
        <v>514</v>
      </c>
      <c r="D43" s="15" t="s">
        <v>516</v>
      </c>
      <c r="E43" s="52">
        <f>SUMIFS(Tabela4[Estoque disponível],Tabela4[Material],Tabela96[[#This Row],[Material]])</f>
        <v>34.704000000000001</v>
      </c>
      <c r="F43" s="52">
        <v>9.5039999999999996</v>
      </c>
      <c r="G43" s="92"/>
      <c r="H43" s="93"/>
    </row>
    <row r="44" spans="2:8" x14ac:dyDescent="0.25">
      <c r="B44" s="38" t="s">
        <v>1042</v>
      </c>
      <c r="C44" s="15" t="s">
        <v>379</v>
      </c>
      <c r="D44" s="15" t="s">
        <v>381</v>
      </c>
      <c r="E44" s="72">
        <f>SUMIFS(Tabela4[Estoque disponível],Tabela4[Material],Tabela96[[#This Row],[Material]])</f>
        <v>63.072000000000003</v>
      </c>
      <c r="F44" s="52">
        <v>9.5039999999999996</v>
      </c>
      <c r="G44" s="92"/>
      <c r="H44" s="93"/>
    </row>
    <row r="45" spans="2:8" x14ac:dyDescent="0.25">
      <c r="B45" s="38" t="s">
        <v>1046</v>
      </c>
      <c r="C45" s="15" t="s">
        <v>1044</v>
      </c>
      <c r="D45" s="15" t="s">
        <v>1045</v>
      </c>
      <c r="E45" s="52">
        <f>SUMIFS(Tabela4[Estoque disponível],Tabela4[Material],Tabela96[[#This Row],[Material]])</f>
        <v>53.423999999999999</v>
      </c>
      <c r="F45" s="52">
        <v>9.5039999999999996</v>
      </c>
      <c r="G45" s="92"/>
      <c r="H45" s="93"/>
    </row>
    <row r="46" spans="2:8" x14ac:dyDescent="0.25">
      <c r="B46" s="38" t="s">
        <v>1051</v>
      </c>
      <c r="C46" s="15" t="s">
        <v>290</v>
      </c>
      <c r="D46" s="15" t="s">
        <v>291</v>
      </c>
      <c r="E46" s="52">
        <f>SUMIFS(Tabela4[Estoque disponível],Tabela4[Material],Tabela96[[#This Row],[Material]])</f>
        <v>35.136000000000003</v>
      </c>
      <c r="F46" s="52">
        <v>9.5039999999999996</v>
      </c>
      <c r="G46" s="92"/>
      <c r="H46" s="93"/>
    </row>
    <row r="47" spans="2:8" x14ac:dyDescent="0.25">
      <c r="B47" s="39" t="s">
        <v>1052</v>
      </c>
      <c r="C47" s="30" t="s">
        <v>560</v>
      </c>
      <c r="D47" s="30" t="s">
        <v>562</v>
      </c>
      <c r="E47" s="63">
        <f>SUMIFS(Tabela4[Estoque disponível],Tabela4[Material],Tabela96[[#This Row],[Material]])</f>
        <v>36.287999999999997</v>
      </c>
      <c r="F47" s="52">
        <v>9.5039999999999996</v>
      </c>
      <c r="G47" s="94"/>
      <c r="H47" s="95"/>
    </row>
  </sheetData>
  <conditionalFormatting sqref="E3:E19 E22:E36 E39:E47">
    <cfRule type="expression" dxfId="60" priority="4">
      <formula>E3&lt;$F3</formula>
    </cfRule>
  </conditionalFormatting>
  <pageMargins left="0.511811024" right="0.511811024" top="0.78740157499999996" bottom="0.78740157499999996" header="0.31496062000000002" footer="0.31496062000000002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</vt:lpstr>
      <vt:lpstr>PIK</vt:lpstr>
      <vt:lpstr>Ressuprimento 1</vt:lpstr>
      <vt:lpstr>Ressuprimento 2</vt:lpstr>
    </vt:vector>
  </TitlesOfParts>
  <Company>Duas Rodas Industrial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VIEIRA DA SILVA</dc:creator>
  <cp:lastModifiedBy>GUILHERME VIEIRA DA SILVA</cp:lastModifiedBy>
  <dcterms:created xsi:type="dcterms:W3CDTF">2026-01-23T14:03:50Z</dcterms:created>
  <dcterms:modified xsi:type="dcterms:W3CDTF">2026-02-21T19:44:11Z</dcterms:modified>
</cp:coreProperties>
</file>